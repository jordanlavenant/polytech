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4.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orda\polytech\dd\TD\"/>
    </mc:Choice>
  </mc:AlternateContent>
  <xr:revisionPtr revIDLastSave="0" documentId="13_ncr:1_{CDA1835A-BE82-4E3A-944E-BBC5EE4D9F39}" xr6:coauthVersionLast="47" xr6:coauthVersionMax="47" xr10:uidLastSave="{00000000-0000-0000-0000-000000000000}"/>
  <bookViews>
    <workbookView xWindow="-120" yWindow="-16320" windowWidth="29040" windowHeight="15720" tabRatio="520" activeTab="3" xr2:uid="{00000000-000D-0000-FFFF-FFFF00000000}"/>
  </bookViews>
  <sheets>
    <sheet name="Accueil" sheetId="62924" r:id="rId1"/>
    <sheet name="Facteurs d'émission" sheetId="62922" r:id="rId2"/>
    <sheet name="Campus site 1" sheetId="62917" r:id="rId3"/>
    <sheet name="Totalisateur" sheetId="62916" r:id="rId4"/>
    <sheet name="Convertisseurs" sheetId="62905" r:id="rId5"/>
    <sheet name="Feuil1" sheetId="62925" r:id="rId6"/>
  </sheets>
  <externalReferences>
    <externalReference r:id="rId7"/>
    <externalReference r:id="rId8"/>
    <externalReference r:id="rId9"/>
  </externalReferences>
  <definedNames>
    <definedName name="_xlnm._FilterDatabase" localSheetId="1" hidden="1">'Facteurs d''émission'!$B$1:$I$249</definedName>
    <definedName name="Avions">Convertisseurs!#REF!</definedName>
    <definedName name="Biocombustibles">Convertisseurs!#REF!</definedName>
    <definedName name="Carburant">Convertisseurs!#REF!</definedName>
    <definedName name="CFC_hors_kyoto">Convertisseurs!#REF!</definedName>
    <definedName name="chaussée">Convertisseurs!#REF!</definedName>
    <definedName name="Combustibles">Convertisseurs!#REF!</definedName>
    <definedName name="CONSOMMABLES_ET_MATERIAUX">'Campus site 1'!$A$338:$T$468</definedName>
    <definedName name="construction_surface">Convertisseurs!#REF!</definedName>
    <definedName name="Déchets_carton_annuels">#REF!</definedName>
    <definedName name="Déchets_carton_par_jour__kg">#REF!</definedName>
    <definedName name="DECHETS_DIRECTS">'Campus site 1'!$A$608:$T$684</definedName>
    <definedName name="Déchets_journeaux_dans_l_année">#REF!</definedName>
    <definedName name="Déchets_journeaux_par_jour">#REF!</definedName>
    <definedName name="Déchets_papier_du_forum__tonnes">#REF!</definedName>
    <definedName name="Déchets_plastiques_annuels">#REF!</definedName>
    <definedName name="Déchets_plastiques_par_jour__kg">#REF!</definedName>
    <definedName name="Densité_de_l_eau__kg_m3">#REF!</definedName>
    <definedName name="DEPLACEMENT_PERSONNES">'Campus site 1'!$A$206:$S$336</definedName>
    <definedName name="Distance_moyenne_en_TGV_longue_distance__km">#REF!</definedName>
    <definedName name="Eaux_usées_annuelles__m3">#REF!</definedName>
    <definedName name="Effectif_total">#REF!</definedName>
    <definedName name="Electricite_m2">Convertisseurs!#REF!</definedName>
    <definedName name="Electricite_pays">Convertisseurs!#REF!</definedName>
    <definedName name="Electricite_producteur">Convertisseurs!#REF!</definedName>
    <definedName name="Extrapolation_personnes_prenant_le_TGV_régulièrement">#REF!</definedName>
    <definedName name="FRET">'Campus site 1'!$A$101:$W$204</definedName>
    <definedName name="fret_ferroviaire">Convertisseurs!#REF!</definedName>
    <definedName name="fret_fluvial_bassin">Convertisseurs!#REF!</definedName>
    <definedName name="fret_fluvial_bateau">Convertisseurs!#REF!</definedName>
    <definedName name="fret_maritime">Convertisseurs!#REF!</definedName>
    <definedName name="fret_routier">Convertisseurs!#REF!</definedName>
    <definedName name="Google_Sheet_Link_1045814573" hidden="1">[0]!CONSOMMABLES_ET_MATERIAUX</definedName>
    <definedName name="Google_Sheet_Link_1063370602" hidden="1">[0]!FRET</definedName>
    <definedName name="Google_Sheet_Link_1224698043" hidden="1">[0]!IMMOBILISATIONS</definedName>
    <definedName name="Google_Sheet_Link_1311118951" hidden="1">[0]!DECHETS_DIRECTS</definedName>
    <definedName name="Google_Sheet_Link_1840559162" hidden="1">[0]!TOTAL</definedName>
    <definedName name="Google_Sheet_Link_359372067" hidden="1">[0]!SOURCES_FIXES</definedName>
    <definedName name="Google_Sheet_Link_757092124" hidden="1">[0]!DEPLACEMENT_PERSONNES</definedName>
    <definedName name="Google_Sheet_Link_84559126" hidden="1">[0]!RESTAURANT_UNIVERSITAIRE</definedName>
    <definedName name="Halocarbures_Kyoto">Convertisseurs!#REF!</definedName>
    <definedName name="IMMOBILISATIONS">'Campus site 1'!$A$685:$T$780</definedName>
    <definedName name="INIES">Convertisseurs!#REF!</definedName>
    <definedName name="Largeur_feuille__m">#REF!</definedName>
    <definedName name="Longueur_feuille__m">#REF!</definedName>
    <definedName name="matériaux_construction_batiments">Convertisseurs!#REF!</definedName>
    <definedName name="Metaux">Convertisseurs!#REF!</definedName>
    <definedName name="métaux">Convertisseurs!#REF!</definedName>
    <definedName name="Nombre_de_canettes_par_jour">#REF!</definedName>
    <definedName name="Nombre_de_déplacements_par_semaine">#REF!</definedName>
    <definedName name="Nombre_de_feuilles_jetées_dans_l_année">#REF!</definedName>
    <definedName name="Nombre_de_feuilles_jetées_pour_deux_semaines">#REF!</definedName>
    <definedName name="Nombre_de_feuilles_par_ramette">#REF!</definedName>
    <definedName name="Nombre_de_jour_par_semaine_sur_le_campus">#REF!</definedName>
    <definedName name="Nombre_de_ramettes">#REF!</definedName>
    <definedName name="Nombre_de_semaines">#REF!</definedName>
    <definedName name="Nombre_de_semaines_sur_le_campus">#REF!</definedName>
    <definedName name="Nombre_de_trajets_TGV_longue_distance_par_personne">#REF!</definedName>
    <definedName name="Nomrbe_de_répondants">#REF!</definedName>
    <definedName name="Papier">Convertisseurs!#REF!</definedName>
    <definedName name="personnes_train">'[1]Facteurs d''émission'!$A$452:$A$473</definedName>
    <definedName name="plastique">Convertisseurs!#REF!</definedName>
    <definedName name="Plastiques">Convertisseurs!#REF!</definedName>
    <definedName name="Poids_d_une_canette_vide__g">#REF!</definedName>
    <definedName name="Poids_des_feuilles_jetées_dans_l_année__tonnes">#REF!</definedName>
    <definedName name="Poids_feuille_par_surface__g_m²">#REF!</definedName>
    <definedName name="Pourcentage_de_répondants">#REF!</definedName>
    <definedName name="produit_agricole">Convertisseurs!#REF!</definedName>
    <definedName name="produit_chimique">Convertisseurs!#REF!</definedName>
    <definedName name="Produits_agricoles">'[2]Facteurs d''émission'!$A$637:$A$665</definedName>
    <definedName name="Produits_alimentaires">Convertisseurs!#REF!</definedName>
    <definedName name="Produits_chimiques">Convertisseurs!#REF!</definedName>
    <definedName name="Ratio_voitures_diesel">#REF!</definedName>
    <definedName name="Ratio_voitures_essence">#REF!</definedName>
    <definedName name="Répondants_prenant_le_TGV_régulièrement">#REF!</definedName>
    <definedName name="RESTAURANT_UNIVERSITAIRE">'Campus site 1'!$A$470:$T$607</definedName>
    <definedName name="Route">'[3]Facteurs d''émission'!$A$578:$A$601</definedName>
    <definedName name="Routes">Convertisseurs!#REF!</definedName>
    <definedName name="SOURCES_FIXES">'Campus site 1'!$C$8:$T$99</definedName>
    <definedName name="Taux_de_covoiturage">#REF!</definedName>
    <definedName name="Taux_de_remplissage_pour_covoiturage">#REF!</definedName>
    <definedName name="TOTAL">'Campus site 1'!$A$782:$Q$825</definedName>
    <definedName name="Total_déchets_papiers__tonnes">#REF!</definedName>
    <definedName name="Train_personnes">Convertisseurs!#REF!</definedName>
    <definedName name="Vapeur">Convertisseurs!#REF!</definedName>
    <definedName name="Verres">Convertisseurs!#REF!</definedName>
    <definedName name="_xlnm.Print_Area" localSheetId="2">'Campus site 1'!$B$2:$AG$825</definedName>
  </definedNames>
  <calcPr calcId="191029" refMode="R1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16" i="62917" l="1"/>
  <c r="D215" i="62917"/>
  <c r="D260" i="62917"/>
  <c r="D259" i="62917"/>
  <c r="D228" i="62917"/>
  <c r="E158" i="62922"/>
  <c r="E159" i="62922"/>
  <c r="E415" i="62917"/>
  <c r="E416" i="62917"/>
  <c r="D418" i="62917"/>
  <c r="F715" i="62917"/>
  <c r="E135" i="62922"/>
  <c r="D723" i="62917" l="1"/>
  <c r="I636" i="62917"/>
  <c r="I620" i="62917"/>
  <c r="D557" i="62917"/>
  <c r="D542" i="62917"/>
  <c r="D523" i="62917"/>
  <c r="I386" i="62917"/>
  <c r="D390" i="62917"/>
  <c r="T260" i="62917"/>
  <c r="T261" i="62917"/>
  <c r="T262" i="62917"/>
  <c r="T263" i="62917"/>
  <c r="T264" i="62917"/>
  <c r="T265" i="62917"/>
  <c r="T266" i="62917"/>
  <c r="T267" i="62917"/>
  <c r="T268" i="62917"/>
  <c r="T269" i="62917"/>
  <c r="T270" i="62917"/>
  <c r="T258" i="62917"/>
  <c r="T229" i="62917"/>
  <c r="T230" i="62917"/>
  <c r="T231" i="62917"/>
  <c r="T232" i="62917"/>
  <c r="T233" i="62917"/>
  <c r="T234" i="62917"/>
  <c r="T235" i="62917"/>
  <c r="T236" i="62917"/>
  <c r="T237" i="62917"/>
  <c r="T228" i="62917"/>
  <c r="T216" i="62917"/>
  <c r="T217" i="62917"/>
  <c r="T218" i="62917"/>
  <c r="T219" i="62917"/>
  <c r="T220" i="62917"/>
  <c r="T215" i="62917"/>
  <c r="L113" i="62917"/>
  <c r="L44" i="62917"/>
  <c r="L45" i="62917"/>
  <c r="L46" i="62917"/>
  <c r="L47" i="62917"/>
  <c r="L48" i="62917"/>
  <c r="L49" i="62917"/>
  <c r="I50" i="62917"/>
  <c r="L33" i="62917"/>
  <c r="L34" i="62917"/>
  <c r="L35" i="62917"/>
  <c r="L18" i="62917"/>
  <c r="L19" i="62917"/>
  <c r="L20" i="62917"/>
  <c r="L21" i="62917"/>
  <c r="L22" i="62917"/>
  <c r="L23" i="62917"/>
  <c r="N221" i="62917" l="1"/>
  <c r="N238" i="62917"/>
  <c r="T259" i="62917"/>
  <c r="N271" i="62917" s="1"/>
  <c r="E636" i="62917" l="1"/>
  <c r="E616" i="62917"/>
  <c r="E618" i="62917" l="1"/>
  <c r="G618" i="62917" s="1"/>
  <c r="L410" i="62917" l="1"/>
  <c r="L411" i="62917"/>
  <c r="L412" i="62917"/>
  <c r="L413" i="62917"/>
  <c r="L414" i="62917"/>
  <c r="L415" i="62917"/>
  <c r="L416" i="62917"/>
  <c r="L417" i="62917"/>
  <c r="L409" i="62917"/>
  <c r="L374" i="62917"/>
  <c r="L347" i="62917"/>
  <c r="L348" i="62917"/>
  <c r="L349" i="62917"/>
  <c r="L350" i="62917"/>
  <c r="L351" i="62917"/>
  <c r="L352" i="62917"/>
  <c r="L353" i="62917"/>
  <c r="L354" i="62917"/>
  <c r="L355" i="62917"/>
  <c r="L356" i="62917"/>
  <c r="D379" i="62917"/>
  <c r="I374" i="62917"/>
  <c r="E374" i="62917"/>
  <c r="G374" i="62917" s="1"/>
  <c r="N374" i="62917" s="1"/>
  <c r="D368" i="62917"/>
  <c r="D357" i="62917"/>
  <c r="E284" i="62917"/>
  <c r="D284" i="62917"/>
  <c r="E271" i="62917"/>
  <c r="F271" i="62917"/>
  <c r="D271" i="62917"/>
  <c r="D221" i="62917"/>
  <c r="D144" i="62917"/>
  <c r="D50" i="62917"/>
  <c r="D24" i="62917"/>
  <c r="D706" i="62917"/>
  <c r="D627" i="62917"/>
  <c r="K374" i="62917" l="1"/>
  <c r="G636" i="62917"/>
  <c r="E646" i="62917" s="1"/>
  <c r="F646" i="62917" l="1"/>
  <c r="C38" i="62916" s="1"/>
  <c r="N636" i="62917"/>
  <c r="M646" i="62917" s="1"/>
  <c r="N646" i="62917" s="1"/>
  <c r="K636" i="62917"/>
  <c r="I646" i="62917" s="1"/>
  <c r="J646" i="62917" s="1"/>
  <c r="O646" i="62917" l="1"/>
  <c r="K646" i="62917"/>
  <c r="P646" i="62917"/>
  <c r="I716" i="62917" l="1"/>
  <c r="L716" i="62917"/>
  <c r="I717" i="62917"/>
  <c r="L717" i="62917"/>
  <c r="I718" i="62917"/>
  <c r="L718" i="62917"/>
  <c r="I719" i="62917"/>
  <c r="L719" i="62917"/>
  <c r="I720" i="62917"/>
  <c r="L720" i="62917"/>
  <c r="I721" i="62917"/>
  <c r="L721" i="62917"/>
  <c r="I722" i="62917"/>
  <c r="L722" i="62917"/>
  <c r="E716" i="62917"/>
  <c r="G716" i="62917" s="1"/>
  <c r="N716" i="62917" s="1"/>
  <c r="G717" i="62917"/>
  <c r="N717" i="62917" s="1"/>
  <c r="E718" i="62917"/>
  <c r="G718" i="62917" s="1"/>
  <c r="N718" i="62917" s="1"/>
  <c r="E719" i="62917"/>
  <c r="G719" i="62917"/>
  <c r="N719" i="62917" s="1"/>
  <c r="E720" i="62917"/>
  <c r="G720" i="62917" s="1"/>
  <c r="N720" i="62917" s="1"/>
  <c r="E721" i="62917"/>
  <c r="G721" i="62917"/>
  <c r="N721" i="62917" s="1"/>
  <c r="E722" i="62917"/>
  <c r="G722" i="62917" s="1"/>
  <c r="N722" i="62917" s="1"/>
  <c r="E699" i="62917"/>
  <c r="G699" i="62917" s="1"/>
  <c r="I699" i="62917"/>
  <c r="L699" i="62917"/>
  <c r="E700" i="62917"/>
  <c r="G700" i="62917" s="1"/>
  <c r="I700" i="62917"/>
  <c r="L700" i="62917"/>
  <c r="E701" i="62917"/>
  <c r="G701" i="62917" s="1"/>
  <c r="I701" i="62917"/>
  <c r="L701" i="62917"/>
  <c r="E702" i="62917"/>
  <c r="G702" i="62917"/>
  <c r="I702" i="62917"/>
  <c r="L702" i="62917"/>
  <c r="E703" i="62917"/>
  <c r="G703" i="62917" s="1"/>
  <c r="I703" i="62917"/>
  <c r="L703" i="62917"/>
  <c r="E704" i="62917"/>
  <c r="G704" i="62917"/>
  <c r="I704" i="62917"/>
  <c r="L704" i="62917"/>
  <c r="E705" i="62917"/>
  <c r="G705" i="62917" s="1"/>
  <c r="I705" i="62917"/>
  <c r="L705" i="62917"/>
  <c r="I730" i="62917"/>
  <c r="I731" i="62917"/>
  <c r="I732" i="62917"/>
  <c r="I733" i="62917"/>
  <c r="I734" i="62917"/>
  <c r="I735" i="62917"/>
  <c r="I729" i="62917"/>
  <c r="E730" i="62917"/>
  <c r="G730" i="62917" s="1"/>
  <c r="N730" i="62917" s="1"/>
  <c r="E731" i="62917"/>
  <c r="G731" i="62917"/>
  <c r="N731" i="62917" s="1"/>
  <c r="E732" i="62917"/>
  <c r="G732" i="62917" s="1"/>
  <c r="K732" i="62917" s="1"/>
  <c r="E733" i="62917"/>
  <c r="G733" i="62917"/>
  <c r="N733" i="62917" s="1"/>
  <c r="E734" i="62917"/>
  <c r="G734" i="62917" s="1"/>
  <c r="N734" i="62917" s="1"/>
  <c r="E735" i="62917"/>
  <c r="G735" i="62917"/>
  <c r="N735" i="62917" s="1"/>
  <c r="E729" i="62917"/>
  <c r="E620" i="62917"/>
  <c r="G620" i="62917" s="1"/>
  <c r="L620" i="62917"/>
  <c r="E621" i="62917"/>
  <c r="G621" i="62917" s="1"/>
  <c r="I621" i="62917"/>
  <c r="L621" i="62917"/>
  <c r="E622" i="62917"/>
  <c r="G622" i="62917" s="1"/>
  <c r="I622" i="62917"/>
  <c r="L622" i="62917"/>
  <c r="E623" i="62917"/>
  <c r="G623" i="62917" s="1"/>
  <c r="I623" i="62917"/>
  <c r="L623" i="62917"/>
  <c r="E624" i="62917"/>
  <c r="G624" i="62917" s="1"/>
  <c r="I624" i="62917"/>
  <c r="L624" i="62917"/>
  <c r="E625" i="62917"/>
  <c r="G625" i="62917" s="1"/>
  <c r="I625" i="62917"/>
  <c r="L625" i="62917"/>
  <c r="E626" i="62917"/>
  <c r="G626" i="62917" s="1"/>
  <c r="I626" i="62917"/>
  <c r="L626" i="62917"/>
  <c r="H556" i="62917"/>
  <c r="E556" i="62917"/>
  <c r="M556" i="62917" s="1"/>
  <c r="H555" i="62917"/>
  <c r="E555" i="62917"/>
  <c r="M555" i="62917" s="1"/>
  <c r="H554" i="62917"/>
  <c r="E554" i="62917"/>
  <c r="M554" i="62917" s="1"/>
  <c r="H553" i="62917"/>
  <c r="E553" i="62917"/>
  <c r="M553" i="62917" s="1"/>
  <c r="H552" i="62917"/>
  <c r="E552" i="62917"/>
  <c r="M552" i="62917" s="1"/>
  <c r="H551" i="62917"/>
  <c r="E551" i="62917"/>
  <c r="M551" i="62917" s="1"/>
  <c r="H550" i="62917"/>
  <c r="E550" i="62917"/>
  <c r="M550" i="62917" s="1"/>
  <c r="H549" i="62917"/>
  <c r="E549" i="62917"/>
  <c r="M549" i="62917" s="1"/>
  <c r="H548" i="62917"/>
  <c r="E548" i="62917"/>
  <c r="M548" i="62917" s="1"/>
  <c r="E530" i="62917"/>
  <c r="F530" i="62917" s="1"/>
  <c r="H530" i="62917"/>
  <c r="K530" i="62917"/>
  <c r="E531" i="62917"/>
  <c r="F531" i="62917" s="1"/>
  <c r="H531" i="62917"/>
  <c r="K531" i="62917"/>
  <c r="E532" i="62917"/>
  <c r="F532" i="62917" s="1"/>
  <c r="H532" i="62917"/>
  <c r="K532" i="62917"/>
  <c r="E533" i="62917"/>
  <c r="F533" i="62917" s="1"/>
  <c r="H533" i="62917"/>
  <c r="K533" i="62917"/>
  <c r="E534" i="62917"/>
  <c r="F534" i="62917" s="1"/>
  <c r="H534" i="62917"/>
  <c r="K534" i="62917"/>
  <c r="E535" i="62917"/>
  <c r="F535" i="62917" s="1"/>
  <c r="H535" i="62917"/>
  <c r="K535" i="62917"/>
  <c r="E536" i="62917"/>
  <c r="F536" i="62917" s="1"/>
  <c r="H536" i="62917"/>
  <c r="K536" i="62917"/>
  <c r="E537" i="62917"/>
  <c r="F537" i="62917" s="1"/>
  <c r="H537" i="62917"/>
  <c r="K537" i="62917"/>
  <c r="E538" i="62917"/>
  <c r="F538" i="62917" s="1"/>
  <c r="H538" i="62917"/>
  <c r="K538" i="62917"/>
  <c r="E539" i="62917"/>
  <c r="F539" i="62917" s="1"/>
  <c r="H539" i="62917"/>
  <c r="K539" i="62917"/>
  <c r="E540" i="62917"/>
  <c r="F540" i="62917" s="1"/>
  <c r="H540" i="62917"/>
  <c r="K540" i="62917"/>
  <c r="E541" i="62917"/>
  <c r="F541" i="62917" s="1"/>
  <c r="H541" i="62917"/>
  <c r="K541" i="62917"/>
  <c r="E510" i="62917"/>
  <c r="F510" i="62917" s="1"/>
  <c r="H510" i="62917"/>
  <c r="K510" i="62917"/>
  <c r="E511" i="62917"/>
  <c r="F511" i="62917" s="1"/>
  <c r="H511" i="62917"/>
  <c r="K511" i="62917"/>
  <c r="E512" i="62917"/>
  <c r="F512" i="62917" s="1"/>
  <c r="H512" i="62917"/>
  <c r="K512" i="62917"/>
  <c r="E513" i="62917"/>
  <c r="F513" i="62917" s="1"/>
  <c r="H513" i="62917"/>
  <c r="K513" i="62917"/>
  <c r="E514" i="62917"/>
  <c r="F514" i="62917" s="1"/>
  <c r="M514" i="62917" s="1"/>
  <c r="H514" i="62917"/>
  <c r="K514" i="62917"/>
  <c r="E515" i="62917"/>
  <c r="F515" i="62917" s="1"/>
  <c r="H515" i="62917"/>
  <c r="K515" i="62917"/>
  <c r="E516" i="62917"/>
  <c r="F516" i="62917" s="1"/>
  <c r="H516" i="62917"/>
  <c r="K516" i="62917"/>
  <c r="E517" i="62917"/>
  <c r="F517" i="62917" s="1"/>
  <c r="H517" i="62917"/>
  <c r="K517" i="62917"/>
  <c r="E518" i="62917"/>
  <c r="F518" i="62917" s="1"/>
  <c r="H518" i="62917"/>
  <c r="K518" i="62917"/>
  <c r="E509" i="62917"/>
  <c r="F509" i="62917" s="1"/>
  <c r="H509" i="62917"/>
  <c r="K509" i="62917"/>
  <c r="E519" i="62917"/>
  <c r="F519" i="62917" s="1"/>
  <c r="H519" i="62917"/>
  <c r="K519" i="62917"/>
  <c r="E520" i="62917"/>
  <c r="F520" i="62917" s="1"/>
  <c r="H520" i="62917"/>
  <c r="K520" i="62917"/>
  <c r="E521" i="62917"/>
  <c r="F521" i="62917" s="1"/>
  <c r="H521" i="62917"/>
  <c r="K521" i="62917"/>
  <c r="E522" i="62917"/>
  <c r="F522" i="62917" s="1"/>
  <c r="H522" i="62917"/>
  <c r="K522" i="62917"/>
  <c r="E483" i="62917"/>
  <c r="F483" i="62917" s="1"/>
  <c r="H483" i="62917"/>
  <c r="K483" i="62917"/>
  <c r="E484" i="62917"/>
  <c r="F484" i="62917" s="1"/>
  <c r="H484" i="62917"/>
  <c r="K484" i="62917"/>
  <c r="E485" i="62917"/>
  <c r="F485" i="62917" s="1"/>
  <c r="H485" i="62917"/>
  <c r="K485" i="62917"/>
  <c r="E486" i="62917"/>
  <c r="F486" i="62917" s="1"/>
  <c r="H486" i="62917"/>
  <c r="K486" i="62917"/>
  <c r="E487" i="62917"/>
  <c r="F487" i="62917" s="1"/>
  <c r="H487" i="62917"/>
  <c r="K487" i="62917"/>
  <c r="E488" i="62917"/>
  <c r="F488" i="62917" s="1"/>
  <c r="H488" i="62917"/>
  <c r="K488" i="62917"/>
  <c r="E489" i="62917"/>
  <c r="F489" i="62917" s="1"/>
  <c r="H489" i="62917"/>
  <c r="K489" i="62917"/>
  <c r="I410" i="62917"/>
  <c r="I411" i="62917"/>
  <c r="I412" i="62917"/>
  <c r="I413" i="62917"/>
  <c r="I414" i="62917"/>
  <c r="I415" i="62917"/>
  <c r="I416" i="62917"/>
  <c r="I417" i="62917"/>
  <c r="I409" i="62917"/>
  <c r="E410" i="62917"/>
  <c r="N410" i="62917" s="1"/>
  <c r="E411" i="62917"/>
  <c r="N411" i="62917" s="1"/>
  <c r="E412" i="62917"/>
  <c r="N412" i="62917" s="1"/>
  <c r="E413" i="62917"/>
  <c r="G413" i="62917" s="1"/>
  <c r="E414" i="62917"/>
  <c r="N414" i="62917" s="1"/>
  <c r="N415" i="62917"/>
  <c r="G416" i="62917"/>
  <c r="E417" i="62917"/>
  <c r="G417" i="62917" s="1"/>
  <c r="E409" i="62917"/>
  <c r="N409" i="62917" s="1"/>
  <c r="E399" i="62917"/>
  <c r="G399" i="62917" s="1"/>
  <c r="I399" i="62917"/>
  <c r="L399" i="62917"/>
  <c r="E400" i="62917"/>
  <c r="G400" i="62917" s="1"/>
  <c r="I400" i="62917"/>
  <c r="L400" i="62917"/>
  <c r="E401" i="62917"/>
  <c r="G401" i="62917" s="1"/>
  <c r="I401" i="62917"/>
  <c r="L401" i="62917"/>
  <c r="I131" i="62917"/>
  <c r="I132" i="62917"/>
  <c r="L386" i="62917"/>
  <c r="E387" i="62917"/>
  <c r="G387" i="62917" s="1"/>
  <c r="I387" i="62917"/>
  <c r="L387" i="62917"/>
  <c r="E388" i="62917"/>
  <c r="G388" i="62917" s="1"/>
  <c r="I388" i="62917"/>
  <c r="L388" i="62917"/>
  <c r="E375" i="62917"/>
  <c r="G375" i="62917" s="1"/>
  <c r="I375" i="62917"/>
  <c r="L375" i="62917"/>
  <c r="E376" i="62917"/>
  <c r="G376" i="62917" s="1"/>
  <c r="I376" i="62917"/>
  <c r="L376" i="62917"/>
  <c r="E377" i="62917"/>
  <c r="G377" i="62917" s="1"/>
  <c r="I377" i="62917"/>
  <c r="L377" i="62917"/>
  <c r="I363" i="62917"/>
  <c r="L363" i="62917"/>
  <c r="I364" i="62917"/>
  <c r="L364" i="62917"/>
  <c r="I365" i="62917"/>
  <c r="L365" i="62917"/>
  <c r="I366" i="62917"/>
  <c r="L366" i="62917"/>
  <c r="E363" i="62917"/>
  <c r="G363" i="62917" s="1"/>
  <c r="E364" i="62917"/>
  <c r="G364" i="62917" s="1"/>
  <c r="N364" i="62917" s="1"/>
  <c r="E365" i="62917"/>
  <c r="G365" i="62917" s="1"/>
  <c r="N365" i="62917" s="1"/>
  <c r="E366" i="62917"/>
  <c r="G366" i="62917" s="1"/>
  <c r="N366" i="62917" s="1"/>
  <c r="E353" i="62917"/>
  <c r="G353" i="62917" s="1"/>
  <c r="I353" i="62917"/>
  <c r="E354" i="62917"/>
  <c r="G354" i="62917" s="1"/>
  <c r="I354" i="62917"/>
  <c r="E355" i="62917"/>
  <c r="G355" i="62917" s="1"/>
  <c r="N355" i="62917" s="1"/>
  <c r="I355" i="62917"/>
  <c r="N279" i="62917"/>
  <c r="N280" i="62917"/>
  <c r="N281" i="62917"/>
  <c r="N282" i="62917"/>
  <c r="N283" i="62917"/>
  <c r="F279" i="62917"/>
  <c r="F280" i="62917"/>
  <c r="F281" i="62917"/>
  <c r="F282" i="62917"/>
  <c r="F283" i="62917"/>
  <c r="N267" i="62917"/>
  <c r="N268" i="62917"/>
  <c r="N269" i="62917"/>
  <c r="G267" i="62917"/>
  <c r="I267" i="62917" s="1"/>
  <c r="G268" i="62917"/>
  <c r="I268" i="62917" s="1"/>
  <c r="G269" i="62917"/>
  <c r="I269" i="62917" s="1"/>
  <c r="G270" i="62917"/>
  <c r="N247" i="62917"/>
  <c r="N248" i="62917"/>
  <c r="G246" i="62917"/>
  <c r="G247" i="62917"/>
  <c r="I247" i="62917" s="1"/>
  <c r="G248" i="62917"/>
  <c r="I248" i="62917" s="1"/>
  <c r="G249" i="62917"/>
  <c r="N229" i="62917"/>
  <c r="N230" i="62917"/>
  <c r="N231" i="62917"/>
  <c r="N232" i="62917"/>
  <c r="N233" i="62917"/>
  <c r="N234" i="62917"/>
  <c r="N235" i="62917"/>
  <c r="N236" i="62917"/>
  <c r="N237" i="62917"/>
  <c r="E238" i="62917"/>
  <c r="F238" i="62917"/>
  <c r="D238" i="62917"/>
  <c r="G231" i="62917"/>
  <c r="I231" i="62917" s="1"/>
  <c r="G232" i="62917"/>
  <c r="I232" i="62917" s="1"/>
  <c r="G233" i="62917"/>
  <c r="I233" i="62917" s="1"/>
  <c r="G234" i="62917"/>
  <c r="I234" i="62917" s="1"/>
  <c r="G235" i="62917"/>
  <c r="I235" i="62917" s="1"/>
  <c r="G236" i="62917"/>
  <c r="I236" i="62917" s="1"/>
  <c r="G237" i="62917"/>
  <c r="I21" i="62917"/>
  <c r="I22" i="62917"/>
  <c r="I23" i="62917"/>
  <c r="I20" i="62917"/>
  <c r="E21" i="62917"/>
  <c r="G21" i="62917" s="1"/>
  <c r="E22" i="62917"/>
  <c r="G22" i="62917" s="1"/>
  <c r="E23" i="62917"/>
  <c r="G23" i="62917" s="1"/>
  <c r="E20" i="62917"/>
  <c r="I33" i="62917"/>
  <c r="I34" i="62917"/>
  <c r="I35" i="62917"/>
  <c r="D36" i="62917"/>
  <c r="E33" i="62917"/>
  <c r="G33" i="62917" s="1"/>
  <c r="N33" i="62917" s="1"/>
  <c r="E34" i="62917"/>
  <c r="G34" i="62917" s="1"/>
  <c r="E35" i="62917"/>
  <c r="G35" i="62917" s="1"/>
  <c r="I45" i="62917"/>
  <c r="I46" i="62917"/>
  <c r="I47" i="62917"/>
  <c r="I48" i="62917"/>
  <c r="I49" i="62917"/>
  <c r="E47" i="62917"/>
  <c r="G47" i="62917" s="1"/>
  <c r="N47" i="62917" s="1"/>
  <c r="E48" i="62917"/>
  <c r="G48" i="62917" s="1"/>
  <c r="N48" i="62917" s="1"/>
  <c r="E49" i="62917"/>
  <c r="G49" i="62917" s="1"/>
  <c r="N49" i="62917" s="1"/>
  <c r="I152" i="62917"/>
  <c r="I153" i="62917"/>
  <c r="I154" i="62917"/>
  <c r="I155" i="62917"/>
  <c r="I118" i="62917"/>
  <c r="I119" i="62917"/>
  <c r="I120" i="62917"/>
  <c r="D121" i="62917"/>
  <c r="E118" i="62917"/>
  <c r="G118" i="62917" s="1"/>
  <c r="E119" i="62917"/>
  <c r="G119" i="62917" s="1"/>
  <c r="N119" i="62917" s="1"/>
  <c r="E120" i="62917"/>
  <c r="G120" i="62917" s="1"/>
  <c r="N120" i="62917" s="1"/>
  <c r="D156" i="62917"/>
  <c r="E152" i="62917"/>
  <c r="G152" i="62917" s="1"/>
  <c r="N152" i="62917" s="1"/>
  <c r="E153" i="62917"/>
  <c r="G153" i="62917" s="1"/>
  <c r="E154" i="62917"/>
  <c r="G154" i="62917" s="1"/>
  <c r="N154" i="62917" s="1"/>
  <c r="E155" i="62917"/>
  <c r="G155" i="62917" s="1"/>
  <c r="N155" i="62917" s="1"/>
  <c r="D133" i="62917"/>
  <c r="I141" i="62917"/>
  <c r="I142" i="62917"/>
  <c r="I143" i="62917"/>
  <c r="E142" i="62917"/>
  <c r="G142" i="62917" s="1"/>
  <c r="N142" i="62917" s="1"/>
  <c r="E143" i="62917"/>
  <c r="G143" i="62917" s="1"/>
  <c r="N143" i="62917" s="1"/>
  <c r="E141" i="62917"/>
  <c r="G141" i="62917" s="1"/>
  <c r="N141" i="62917" s="1"/>
  <c r="E131" i="62917"/>
  <c r="G131" i="62917" s="1"/>
  <c r="N131" i="62917" s="1"/>
  <c r="E132" i="62917"/>
  <c r="G132" i="62917" s="1"/>
  <c r="N132" i="62917" s="1"/>
  <c r="I130" i="62917"/>
  <c r="E130" i="62917"/>
  <c r="G130" i="62917" s="1"/>
  <c r="N130" i="62917" s="1"/>
  <c r="E221" i="62917"/>
  <c r="F221" i="62917"/>
  <c r="I279" i="62917" l="1"/>
  <c r="W279" i="62917" s="1"/>
  <c r="T279" i="62917"/>
  <c r="I282" i="62917"/>
  <c r="W282" i="62917" s="1"/>
  <c r="T282" i="62917"/>
  <c r="I281" i="62917"/>
  <c r="W281" i="62917" s="1"/>
  <c r="T281" i="62917"/>
  <c r="I283" i="62917"/>
  <c r="W283" i="62917" s="1"/>
  <c r="T283" i="62917"/>
  <c r="I280" i="62917"/>
  <c r="W280" i="62917" s="1"/>
  <c r="T280" i="62917"/>
  <c r="K153" i="62917"/>
  <c r="G20" i="62917"/>
  <c r="N20" i="62917" s="1"/>
  <c r="K720" i="62917"/>
  <c r="K702" i="62917"/>
  <c r="K704" i="62917"/>
  <c r="N702" i="62917"/>
  <c r="K731" i="62917"/>
  <c r="K721" i="62917"/>
  <c r="K717" i="62917"/>
  <c r="K722" i="62917"/>
  <c r="K718" i="62917"/>
  <c r="K719" i="62917"/>
  <c r="K716" i="62917"/>
  <c r="K700" i="62917"/>
  <c r="N700" i="62917"/>
  <c r="K733" i="62917"/>
  <c r="N705" i="62917"/>
  <c r="K705" i="62917"/>
  <c r="N703" i="62917"/>
  <c r="K703" i="62917"/>
  <c r="N701" i="62917"/>
  <c r="K701" i="62917"/>
  <c r="N699" i="62917"/>
  <c r="K699" i="62917"/>
  <c r="N704" i="62917"/>
  <c r="K735" i="62917"/>
  <c r="K734" i="62917"/>
  <c r="K730" i="62917"/>
  <c r="N732" i="62917"/>
  <c r="K625" i="62917"/>
  <c r="K623" i="62917"/>
  <c r="N623" i="62917"/>
  <c r="K621" i="62917"/>
  <c r="N624" i="62917"/>
  <c r="K624" i="62917"/>
  <c r="N626" i="62917"/>
  <c r="K626" i="62917"/>
  <c r="N622" i="62917"/>
  <c r="K622" i="62917"/>
  <c r="N620" i="62917"/>
  <c r="K620" i="62917"/>
  <c r="N625" i="62917"/>
  <c r="N621" i="62917"/>
  <c r="K549" i="62917"/>
  <c r="K551" i="62917"/>
  <c r="K553" i="62917"/>
  <c r="K555" i="62917"/>
  <c r="F549" i="62917"/>
  <c r="J549" i="62917" s="1"/>
  <c r="F551" i="62917"/>
  <c r="J551" i="62917" s="1"/>
  <c r="F553" i="62917"/>
  <c r="J553" i="62917" s="1"/>
  <c r="F555" i="62917"/>
  <c r="J555" i="62917" s="1"/>
  <c r="K554" i="62917"/>
  <c r="K556" i="62917"/>
  <c r="K548" i="62917"/>
  <c r="K550" i="62917"/>
  <c r="K552" i="62917"/>
  <c r="F548" i="62917"/>
  <c r="J548" i="62917" s="1"/>
  <c r="F550" i="62917"/>
  <c r="J550" i="62917" s="1"/>
  <c r="F552" i="62917"/>
  <c r="J552" i="62917" s="1"/>
  <c r="F554" i="62917"/>
  <c r="J554" i="62917" s="1"/>
  <c r="F556" i="62917"/>
  <c r="J556" i="62917" s="1"/>
  <c r="J537" i="62917"/>
  <c r="J535" i="62917"/>
  <c r="J533" i="62917"/>
  <c r="J531" i="62917"/>
  <c r="J541" i="62917"/>
  <c r="J539" i="62917"/>
  <c r="M535" i="62917"/>
  <c r="M533" i="62917"/>
  <c r="M531" i="62917"/>
  <c r="M539" i="62917"/>
  <c r="M540" i="62917"/>
  <c r="J540" i="62917"/>
  <c r="M538" i="62917"/>
  <c r="J538" i="62917"/>
  <c r="M536" i="62917"/>
  <c r="J536" i="62917"/>
  <c r="M534" i="62917"/>
  <c r="J534" i="62917"/>
  <c r="M532" i="62917"/>
  <c r="J532" i="62917"/>
  <c r="M530" i="62917"/>
  <c r="J530" i="62917"/>
  <c r="M541" i="62917"/>
  <c r="M537" i="62917"/>
  <c r="J512" i="62917"/>
  <c r="J517" i="62917"/>
  <c r="M512" i="62917"/>
  <c r="J514" i="62917"/>
  <c r="M516" i="62917"/>
  <c r="J516" i="62917"/>
  <c r="J515" i="62917"/>
  <c r="M515" i="62917"/>
  <c r="J513" i="62917"/>
  <c r="M513" i="62917"/>
  <c r="M510" i="62917"/>
  <c r="J510" i="62917"/>
  <c r="M518" i="62917"/>
  <c r="J518" i="62917"/>
  <c r="M517" i="62917"/>
  <c r="J511" i="62917"/>
  <c r="M511" i="62917"/>
  <c r="J521" i="62917"/>
  <c r="M521" i="62917"/>
  <c r="J519" i="62917"/>
  <c r="M519" i="62917"/>
  <c r="M522" i="62917"/>
  <c r="J522" i="62917"/>
  <c r="M520" i="62917"/>
  <c r="J520" i="62917"/>
  <c r="M509" i="62917"/>
  <c r="J509" i="62917"/>
  <c r="J488" i="62917"/>
  <c r="M488" i="62917"/>
  <c r="J486" i="62917"/>
  <c r="M486" i="62917"/>
  <c r="J484" i="62917"/>
  <c r="M484" i="62917"/>
  <c r="M489" i="62917"/>
  <c r="J489" i="62917"/>
  <c r="M487" i="62917"/>
  <c r="J487" i="62917"/>
  <c r="M485" i="62917"/>
  <c r="J485" i="62917"/>
  <c r="M483" i="62917"/>
  <c r="J483" i="62917"/>
  <c r="K416" i="62917"/>
  <c r="N417" i="62917"/>
  <c r="G412" i="62917"/>
  <c r="K412" i="62917" s="1"/>
  <c r="N416" i="62917"/>
  <c r="G415" i="62917"/>
  <c r="K415" i="62917" s="1"/>
  <c r="K417" i="62917"/>
  <c r="K413" i="62917"/>
  <c r="G411" i="62917"/>
  <c r="K411" i="62917" s="1"/>
  <c r="N413" i="62917"/>
  <c r="G409" i="62917"/>
  <c r="G414" i="62917"/>
  <c r="K414" i="62917" s="1"/>
  <c r="G410" i="62917"/>
  <c r="K410" i="62917" s="1"/>
  <c r="K400" i="62917"/>
  <c r="K401" i="62917"/>
  <c r="N400" i="62917"/>
  <c r="K399" i="62917"/>
  <c r="N401" i="62917"/>
  <c r="N399" i="62917"/>
  <c r="K132" i="62917"/>
  <c r="K131" i="62917"/>
  <c r="K387" i="62917"/>
  <c r="N387" i="62917"/>
  <c r="N388" i="62917"/>
  <c r="K388" i="62917"/>
  <c r="K376" i="62917"/>
  <c r="N376" i="62917"/>
  <c r="N377" i="62917"/>
  <c r="K377" i="62917"/>
  <c r="N375" i="62917"/>
  <c r="K375" i="62917"/>
  <c r="N363" i="62917"/>
  <c r="K354" i="62917"/>
  <c r="K364" i="62917"/>
  <c r="K363" i="62917"/>
  <c r="K365" i="62917"/>
  <c r="K366" i="62917"/>
  <c r="K269" i="62917"/>
  <c r="X269" i="62917" s="1"/>
  <c r="N353" i="62917"/>
  <c r="K353" i="62917"/>
  <c r="K355" i="62917"/>
  <c r="N354" i="62917"/>
  <c r="J283" i="62917"/>
  <c r="X283" i="62917" s="1"/>
  <c r="J279" i="62917"/>
  <c r="X279" i="62917" s="1"/>
  <c r="J281" i="62917"/>
  <c r="X281" i="62917" s="1"/>
  <c r="P269" i="62917"/>
  <c r="J280" i="62917"/>
  <c r="X280" i="62917" s="1"/>
  <c r="K268" i="62917"/>
  <c r="R268" i="62917" s="1"/>
  <c r="J282" i="62917"/>
  <c r="V268" i="62917"/>
  <c r="P268" i="62917"/>
  <c r="V267" i="62917"/>
  <c r="J269" i="62917"/>
  <c r="W269" i="62917" s="1"/>
  <c r="J268" i="62917"/>
  <c r="K267" i="62917"/>
  <c r="X267" i="62917" s="1"/>
  <c r="J267" i="62917"/>
  <c r="W267" i="62917" s="1"/>
  <c r="P267" i="62917"/>
  <c r="V269" i="62917"/>
  <c r="V236" i="62917"/>
  <c r="V232" i="62917"/>
  <c r="V235" i="62917"/>
  <c r="V231" i="62917"/>
  <c r="V234" i="62917"/>
  <c r="V233" i="62917"/>
  <c r="P231" i="62917"/>
  <c r="P234" i="62917"/>
  <c r="K247" i="62917"/>
  <c r="X247" i="62917" s="1"/>
  <c r="K236" i="62917"/>
  <c r="X236" i="62917" s="1"/>
  <c r="K235" i="62917"/>
  <c r="X235" i="62917" s="1"/>
  <c r="K234" i="62917"/>
  <c r="X234" i="62917" s="1"/>
  <c r="K233" i="62917"/>
  <c r="X233" i="62917" s="1"/>
  <c r="K232" i="62917"/>
  <c r="X232" i="62917" s="1"/>
  <c r="K231" i="62917"/>
  <c r="X231" i="62917" s="1"/>
  <c r="P235" i="62917"/>
  <c r="P233" i="62917"/>
  <c r="J236" i="62917"/>
  <c r="W236" i="62917" s="1"/>
  <c r="J235" i="62917"/>
  <c r="W235" i="62917" s="1"/>
  <c r="J234" i="62917"/>
  <c r="W234" i="62917" s="1"/>
  <c r="J233" i="62917"/>
  <c r="W233" i="62917" s="1"/>
  <c r="J232" i="62917"/>
  <c r="W232" i="62917" s="1"/>
  <c r="J231" i="62917"/>
  <c r="W231" i="62917" s="1"/>
  <c r="P236" i="62917"/>
  <c r="P232" i="62917"/>
  <c r="V247" i="62917"/>
  <c r="V248" i="62917"/>
  <c r="K248" i="62917"/>
  <c r="X248" i="62917" s="1"/>
  <c r="J248" i="62917"/>
  <c r="W248" i="62917" s="1"/>
  <c r="J247" i="62917"/>
  <c r="W247" i="62917" s="1"/>
  <c r="P248" i="62917"/>
  <c r="P247" i="62917"/>
  <c r="K22" i="62917"/>
  <c r="N22" i="62917"/>
  <c r="N21" i="62917"/>
  <c r="K21" i="62917"/>
  <c r="N23" i="62917"/>
  <c r="K23" i="62917"/>
  <c r="K35" i="62917"/>
  <c r="K34" i="62917"/>
  <c r="N34" i="62917"/>
  <c r="N35" i="62917"/>
  <c r="K33" i="62917"/>
  <c r="K48" i="62917"/>
  <c r="K155" i="62917"/>
  <c r="K47" i="62917"/>
  <c r="K49" i="62917"/>
  <c r="K118" i="62917"/>
  <c r="N118" i="62917"/>
  <c r="K119" i="62917"/>
  <c r="K152" i="62917"/>
  <c r="N153" i="62917"/>
  <c r="K154" i="62917"/>
  <c r="K120" i="62917"/>
  <c r="K141" i="62917"/>
  <c r="K143" i="62917"/>
  <c r="K142" i="62917"/>
  <c r="K130" i="62917"/>
  <c r="E151" i="62917"/>
  <c r="E150" i="62917"/>
  <c r="G150" i="62917" s="1"/>
  <c r="I150" i="62917"/>
  <c r="I139" i="62917"/>
  <c r="I140" i="62917"/>
  <c r="Q281" i="62917" l="1"/>
  <c r="K282" i="62917"/>
  <c r="Y283" i="62917"/>
  <c r="Q280" i="62917"/>
  <c r="Q282" i="62917"/>
  <c r="Q279" i="62917"/>
  <c r="Q283" i="62917"/>
  <c r="Y280" i="62917"/>
  <c r="K20" i="62917"/>
  <c r="Y281" i="62917"/>
  <c r="Q269" i="62917"/>
  <c r="R283" i="62917"/>
  <c r="K281" i="62917"/>
  <c r="Q234" i="62917"/>
  <c r="R281" i="62917"/>
  <c r="Y269" i="62917"/>
  <c r="R279" i="62917"/>
  <c r="R269" i="62917"/>
  <c r="Y279" i="62917"/>
  <c r="X268" i="62917"/>
  <c r="Y236" i="62917"/>
  <c r="Y234" i="62917"/>
  <c r="Q233" i="62917"/>
  <c r="L233" i="62917"/>
  <c r="K283" i="62917"/>
  <c r="R235" i="62917"/>
  <c r="R234" i="62917"/>
  <c r="L269" i="62917"/>
  <c r="R280" i="62917"/>
  <c r="K279" i="62917"/>
  <c r="Q231" i="62917"/>
  <c r="R231" i="62917"/>
  <c r="Y235" i="62917"/>
  <c r="R282" i="62917"/>
  <c r="X282" i="62917"/>
  <c r="Y282" i="62917" s="1"/>
  <c r="Q235" i="62917"/>
  <c r="L231" i="62917"/>
  <c r="Q267" i="62917"/>
  <c r="K280" i="62917"/>
  <c r="Y233" i="62917"/>
  <c r="Y232" i="62917"/>
  <c r="L267" i="62917"/>
  <c r="W268" i="62917"/>
  <c r="Q268" i="62917"/>
  <c r="S268" i="62917" s="1"/>
  <c r="R248" i="62917"/>
  <c r="Y231" i="62917"/>
  <c r="R267" i="62917"/>
  <c r="Y267" i="62917"/>
  <c r="L268" i="62917"/>
  <c r="R233" i="62917"/>
  <c r="R247" i="62917"/>
  <c r="L248" i="62917"/>
  <c r="L234" i="62917"/>
  <c r="L236" i="62917"/>
  <c r="L232" i="62917"/>
  <c r="R232" i="62917"/>
  <c r="R236" i="62917"/>
  <c r="Q232" i="62917"/>
  <c r="Q236" i="62917"/>
  <c r="Q248" i="62917"/>
  <c r="Y248" i="62917"/>
  <c r="L235" i="62917"/>
  <c r="L247" i="62917"/>
  <c r="Q247" i="62917"/>
  <c r="Y247" i="62917"/>
  <c r="N150" i="62917"/>
  <c r="K150" i="62917"/>
  <c r="E45" i="62917"/>
  <c r="F41" i="62905"/>
  <c r="F40" i="62905"/>
  <c r="F39" i="62905"/>
  <c r="F38" i="62905"/>
  <c r="F33" i="62905"/>
  <c r="F32" i="62905"/>
  <c r="F31" i="62905"/>
  <c r="F30" i="62905"/>
  <c r="S281" i="62917" l="1"/>
  <c r="S280" i="62917"/>
  <c r="S283" i="62917"/>
  <c r="S282" i="62917"/>
  <c r="S279" i="62917"/>
  <c r="S269" i="62917"/>
  <c r="S234" i="62917"/>
  <c r="S235" i="62917"/>
  <c r="S267" i="62917"/>
  <c r="Y268" i="62917"/>
  <c r="S233" i="62917"/>
  <c r="S231" i="62917"/>
  <c r="S247" i="62917"/>
  <c r="S236" i="62917"/>
  <c r="S248" i="62917"/>
  <c r="S232" i="62917"/>
  <c r="I713" i="62917"/>
  <c r="I714" i="62917"/>
  <c r="I715" i="62917"/>
  <c r="I712" i="62917"/>
  <c r="I694" i="62917"/>
  <c r="I695" i="62917"/>
  <c r="I696" i="62917"/>
  <c r="I697" i="62917"/>
  <c r="I698" i="62917"/>
  <c r="I693" i="62917"/>
  <c r="I617" i="62917"/>
  <c r="I618" i="62917"/>
  <c r="I619" i="62917"/>
  <c r="I616" i="62917"/>
  <c r="H547" i="62917"/>
  <c r="H529" i="62917"/>
  <c r="H497" i="62917"/>
  <c r="H498" i="62917"/>
  <c r="H499" i="62917"/>
  <c r="H500" i="62917"/>
  <c r="H501" i="62917"/>
  <c r="H502" i="62917"/>
  <c r="H503" i="62917"/>
  <c r="H504" i="62917"/>
  <c r="H505" i="62917"/>
  <c r="H506" i="62917"/>
  <c r="H507" i="62917"/>
  <c r="H508" i="62917"/>
  <c r="H496" i="62917"/>
  <c r="H478" i="62917"/>
  <c r="H479" i="62917"/>
  <c r="H480" i="62917"/>
  <c r="H481" i="62917"/>
  <c r="H482" i="62917"/>
  <c r="H477" i="62917"/>
  <c r="I397" i="62917"/>
  <c r="I398" i="62917"/>
  <c r="I402" i="62917"/>
  <c r="I396" i="62917"/>
  <c r="I389" i="62917"/>
  <c r="I385" i="62917"/>
  <c r="I378" i="62917"/>
  <c r="I367" i="62917"/>
  <c r="I347" i="62917"/>
  <c r="I348" i="62917"/>
  <c r="I349" i="62917"/>
  <c r="I350" i="62917"/>
  <c r="I351" i="62917"/>
  <c r="I352" i="62917"/>
  <c r="I356" i="62917"/>
  <c r="I346" i="62917"/>
  <c r="N278" i="62917"/>
  <c r="N259" i="62917"/>
  <c r="N260" i="62917"/>
  <c r="N261" i="62917"/>
  <c r="N262" i="62917"/>
  <c r="N263" i="62917"/>
  <c r="N264" i="62917"/>
  <c r="N265" i="62917"/>
  <c r="N266" i="62917"/>
  <c r="N270" i="62917"/>
  <c r="N258" i="62917"/>
  <c r="N249" i="62917"/>
  <c r="N246" i="62917"/>
  <c r="N245" i="62917"/>
  <c r="N228" i="62917"/>
  <c r="N220" i="62917"/>
  <c r="N219" i="62917"/>
  <c r="N218" i="62917"/>
  <c r="N217" i="62917"/>
  <c r="N216" i="62917"/>
  <c r="N215" i="62917"/>
  <c r="I151" i="62917"/>
  <c r="I128" i="62917"/>
  <c r="I129" i="62917"/>
  <c r="I127" i="62917"/>
  <c r="I114" i="62917"/>
  <c r="I115" i="62917"/>
  <c r="I116" i="62917"/>
  <c r="I117" i="62917"/>
  <c r="I113" i="62917"/>
  <c r="I44" i="62917"/>
  <c r="I32" i="62917"/>
  <c r="I18" i="62917"/>
  <c r="I19" i="62917"/>
  <c r="I17" i="62917"/>
  <c r="E713" i="62917"/>
  <c r="E714" i="62917"/>
  <c r="E715" i="62917"/>
  <c r="E712" i="62917"/>
  <c r="E694" i="62917"/>
  <c r="E695" i="62917"/>
  <c r="E696" i="62917"/>
  <c r="E697" i="62917"/>
  <c r="E698" i="62917"/>
  <c r="E693" i="62917"/>
  <c r="E617" i="62917"/>
  <c r="E547" i="62917"/>
  <c r="F547" i="62917" s="1"/>
  <c r="K529" i="62917"/>
  <c r="E529" i="62917"/>
  <c r="F529" i="62917" s="1"/>
  <c r="E497" i="62917"/>
  <c r="E498" i="62917"/>
  <c r="E499" i="62917"/>
  <c r="E500" i="62917"/>
  <c r="E501" i="62917"/>
  <c r="E502" i="62917"/>
  <c r="E503" i="62917"/>
  <c r="E504" i="62917"/>
  <c r="E505" i="62917"/>
  <c r="E506" i="62917"/>
  <c r="E507" i="62917"/>
  <c r="E508" i="62917"/>
  <c r="E496" i="62917"/>
  <c r="E478" i="62917"/>
  <c r="E479" i="62917"/>
  <c r="E480" i="62917"/>
  <c r="E481" i="62917"/>
  <c r="E482" i="62917"/>
  <c r="E477" i="62917"/>
  <c r="E397" i="62917"/>
  <c r="E398" i="62917"/>
  <c r="E402" i="62917"/>
  <c r="E396" i="62917"/>
  <c r="E619" i="62917"/>
  <c r="G619" i="62917" s="1"/>
  <c r="E385" i="62917"/>
  <c r="E378" i="62917"/>
  <c r="G378" i="62917" s="1"/>
  <c r="E367" i="62917"/>
  <c r="E347" i="62917"/>
  <c r="E348" i="62917"/>
  <c r="E349" i="62917"/>
  <c r="E350" i="62917"/>
  <c r="G350" i="62917" s="1"/>
  <c r="E351" i="62917"/>
  <c r="G351" i="62917" s="1"/>
  <c r="E352" i="62917"/>
  <c r="G352" i="62917" s="1"/>
  <c r="E356" i="62917"/>
  <c r="G356" i="62917" s="1"/>
  <c r="N356" i="62917" s="1"/>
  <c r="E346" i="62917"/>
  <c r="F278" i="62917"/>
  <c r="T278" i="62917" s="1"/>
  <c r="N284" i="62917" s="1"/>
  <c r="G259" i="62917"/>
  <c r="G260" i="62917"/>
  <c r="G261" i="62917"/>
  <c r="G262" i="62917"/>
  <c r="G263" i="62917"/>
  <c r="G264" i="62917"/>
  <c r="G265" i="62917"/>
  <c r="G266" i="62917"/>
  <c r="G258" i="62917"/>
  <c r="K246" i="62917"/>
  <c r="I249" i="62917"/>
  <c r="G245" i="62917"/>
  <c r="I245" i="62917" s="1"/>
  <c r="G229" i="62917"/>
  <c r="G230" i="62917"/>
  <c r="G228" i="62917"/>
  <c r="G220" i="62917"/>
  <c r="J220" i="62917" s="1"/>
  <c r="G219" i="62917"/>
  <c r="I219" i="62917" s="1"/>
  <c r="G218" i="62917"/>
  <c r="K218" i="62917" s="1"/>
  <c r="G217" i="62917"/>
  <c r="J217" i="62917" s="1"/>
  <c r="G216" i="62917"/>
  <c r="K216" i="62917" s="1"/>
  <c r="G215" i="62917"/>
  <c r="K215" i="62917" s="1"/>
  <c r="E140" i="62917"/>
  <c r="E139" i="62917"/>
  <c r="E128" i="62917"/>
  <c r="E129" i="62917"/>
  <c r="E127" i="62917"/>
  <c r="G127" i="62917" s="1"/>
  <c r="E114" i="62917"/>
  <c r="E115" i="62917"/>
  <c r="E116" i="62917"/>
  <c r="E117" i="62917"/>
  <c r="E113" i="62917"/>
  <c r="E17" i="62917"/>
  <c r="G17" i="62917" s="1"/>
  <c r="E46" i="62917"/>
  <c r="E44" i="62917"/>
  <c r="E32" i="62917"/>
  <c r="E18" i="62917"/>
  <c r="G18" i="62917" s="1"/>
  <c r="E19" i="62917"/>
  <c r="G19" i="62917" s="1"/>
  <c r="E389" i="62917" l="1"/>
  <c r="G389" i="62917" s="1"/>
  <c r="K389" i="62917" s="1"/>
  <c r="E386" i="62917"/>
  <c r="G386" i="62917" s="1"/>
  <c r="H542" i="62917"/>
  <c r="N351" i="62917"/>
  <c r="K351" i="62917"/>
  <c r="N350" i="62917"/>
  <c r="K350" i="62917"/>
  <c r="N352" i="62917"/>
  <c r="K352" i="62917"/>
  <c r="K356" i="62917"/>
  <c r="F542" i="62917"/>
  <c r="J529" i="62917"/>
  <c r="M529" i="62917"/>
  <c r="I215" i="62917"/>
  <c r="I216" i="62917"/>
  <c r="P216" i="62917" s="1"/>
  <c r="I246" i="62917"/>
  <c r="P246" i="62917" s="1"/>
  <c r="J246" i="62917"/>
  <c r="Q246" i="62917" s="1"/>
  <c r="J219" i="62917"/>
  <c r="Q219" i="62917" s="1"/>
  <c r="K220" i="62917"/>
  <c r="R220" i="62917" s="1"/>
  <c r="K245" i="62917"/>
  <c r="R245" i="62917" s="1"/>
  <c r="I218" i="62917"/>
  <c r="P218" i="62917" s="1"/>
  <c r="J215" i="62917"/>
  <c r="J216" i="62917"/>
  <c r="Q216" i="62917" s="1"/>
  <c r="K219" i="62917"/>
  <c r="R219" i="62917" s="1"/>
  <c r="J245" i="62917"/>
  <c r="K249" i="62917"/>
  <c r="R249" i="62917" s="1"/>
  <c r="I220" i="62917"/>
  <c r="P220" i="62917" s="1"/>
  <c r="I217" i="62917"/>
  <c r="P217" i="62917" s="1"/>
  <c r="J218" i="62917"/>
  <c r="W218" i="62917" s="1"/>
  <c r="J249" i="62917"/>
  <c r="W249" i="62917" s="1"/>
  <c r="K217" i="62917"/>
  <c r="R217" i="62917" s="1"/>
  <c r="J547" i="62917"/>
  <c r="K547" i="62917"/>
  <c r="F497" i="62917"/>
  <c r="F498" i="62917"/>
  <c r="M498" i="62917" s="1"/>
  <c r="F499" i="62917"/>
  <c r="G693" i="62917"/>
  <c r="K693" i="62917" s="1"/>
  <c r="G694" i="62917"/>
  <c r="N694" i="62917" s="1"/>
  <c r="G695" i="62917"/>
  <c r="N695" i="62917" s="1"/>
  <c r="G696" i="62917"/>
  <c r="K696" i="62917" s="1"/>
  <c r="G697" i="62917"/>
  <c r="K697" i="62917" s="1"/>
  <c r="G698" i="62917"/>
  <c r="K698" i="62917" s="1"/>
  <c r="G712" i="62917"/>
  <c r="N712" i="62917" s="1"/>
  <c r="G713" i="62917"/>
  <c r="K713" i="62917" s="1"/>
  <c r="G714" i="62917"/>
  <c r="K714" i="62917" s="1"/>
  <c r="G715" i="62917"/>
  <c r="K715" i="62917" s="1"/>
  <c r="G729" i="62917"/>
  <c r="N729" i="62917" s="1"/>
  <c r="P219" i="62917"/>
  <c r="R215" i="62917"/>
  <c r="R216" i="62917"/>
  <c r="Q217" i="62917"/>
  <c r="R218" i="62917"/>
  <c r="I230" i="62917"/>
  <c r="P230" i="62917" s="1"/>
  <c r="J230" i="62917"/>
  <c r="W230" i="62917" s="1"/>
  <c r="K230" i="62917"/>
  <c r="R230" i="62917" s="1"/>
  <c r="I228" i="62917"/>
  <c r="P228" i="62917" s="1"/>
  <c r="J228" i="62917"/>
  <c r="W228" i="62917" s="1"/>
  <c r="K228" i="62917"/>
  <c r="R228" i="62917" s="1"/>
  <c r="I229" i="62917"/>
  <c r="V229" i="62917" s="1"/>
  <c r="J229" i="62917"/>
  <c r="Q229" i="62917" s="1"/>
  <c r="K229" i="62917"/>
  <c r="R229" i="62917" s="1"/>
  <c r="I237" i="62917"/>
  <c r="P237" i="62917" s="1"/>
  <c r="J237" i="62917"/>
  <c r="Q237" i="62917" s="1"/>
  <c r="K237" i="62917"/>
  <c r="R237" i="62917" s="1"/>
  <c r="R246" i="62917"/>
  <c r="P249" i="62917"/>
  <c r="I261" i="62917"/>
  <c r="P261" i="62917" s="1"/>
  <c r="J261" i="62917"/>
  <c r="W261" i="62917" s="1"/>
  <c r="K261" i="62917"/>
  <c r="R261" i="62917" s="1"/>
  <c r="I258" i="62917"/>
  <c r="P258" i="62917" s="1"/>
  <c r="J258" i="62917"/>
  <c r="Q258" i="62917" s="1"/>
  <c r="K258" i="62917"/>
  <c r="R258" i="62917" s="1"/>
  <c r="I259" i="62917"/>
  <c r="V259" i="62917" s="1"/>
  <c r="J259" i="62917"/>
  <c r="Q259" i="62917" s="1"/>
  <c r="K259" i="62917"/>
  <c r="R259" i="62917" s="1"/>
  <c r="I260" i="62917"/>
  <c r="P260" i="62917" s="1"/>
  <c r="J260" i="62917"/>
  <c r="Q260" i="62917" s="1"/>
  <c r="K260" i="62917"/>
  <c r="R260" i="62917" s="1"/>
  <c r="I262" i="62917"/>
  <c r="P262" i="62917" s="1"/>
  <c r="J262" i="62917"/>
  <c r="Q262" i="62917" s="1"/>
  <c r="K262" i="62917"/>
  <c r="R262" i="62917" s="1"/>
  <c r="I263" i="62917"/>
  <c r="P263" i="62917" s="1"/>
  <c r="J263" i="62917"/>
  <c r="Q263" i="62917" s="1"/>
  <c r="K263" i="62917"/>
  <c r="R263" i="62917" s="1"/>
  <c r="I264" i="62917"/>
  <c r="P264" i="62917" s="1"/>
  <c r="J264" i="62917"/>
  <c r="Q264" i="62917" s="1"/>
  <c r="K264" i="62917"/>
  <c r="R264" i="62917" s="1"/>
  <c r="I265" i="62917"/>
  <c r="V265" i="62917" s="1"/>
  <c r="J265" i="62917"/>
  <c r="Q265" i="62917" s="1"/>
  <c r="K265" i="62917"/>
  <c r="X265" i="62917" s="1"/>
  <c r="I266" i="62917"/>
  <c r="V266" i="62917" s="1"/>
  <c r="J266" i="62917"/>
  <c r="W266" i="62917" s="1"/>
  <c r="K266" i="62917"/>
  <c r="R266" i="62917" s="1"/>
  <c r="I270" i="62917"/>
  <c r="V270" i="62917" s="1"/>
  <c r="J270" i="62917"/>
  <c r="W270" i="62917" s="1"/>
  <c r="K270" i="62917"/>
  <c r="R270" i="62917" s="1"/>
  <c r="I278" i="62917"/>
  <c r="J278" i="62917"/>
  <c r="R278" i="62917" s="1"/>
  <c r="G346" i="62917"/>
  <c r="N346" i="62917" s="1"/>
  <c r="G347" i="62917"/>
  <c r="K347" i="62917" s="1"/>
  <c r="G348" i="62917"/>
  <c r="K348" i="62917" s="1"/>
  <c r="G349" i="62917"/>
  <c r="K349" i="62917" s="1"/>
  <c r="G367" i="62917"/>
  <c r="G385" i="62917"/>
  <c r="N385" i="62917" s="1"/>
  <c r="K378" i="62917"/>
  <c r="G396" i="62917"/>
  <c r="K396" i="62917" s="1"/>
  <c r="G397" i="62917"/>
  <c r="K397" i="62917" s="1"/>
  <c r="G398" i="62917"/>
  <c r="K398" i="62917" s="1"/>
  <c r="G402" i="62917"/>
  <c r="K402" i="62917" s="1"/>
  <c r="F477" i="62917"/>
  <c r="M477" i="62917" s="1"/>
  <c r="F478" i="62917"/>
  <c r="J478" i="62917" s="1"/>
  <c r="F479" i="62917"/>
  <c r="J479" i="62917" s="1"/>
  <c r="F480" i="62917"/>
  <c r="J480" i="62917" s="1"/>
  <c r="F481" i="62917"/>
  <c r="J481" i="62917" s="1"/>
  <c r="F482" i="62917"/>
  <c r="J482" i="62917" s="1"/>
  <c r="F496" i="62917"/>
  <c r="J496" i="62917" s="1"/>
  <c r="F500" i="62917"/>
  <c r="M500" i="62917" s="1"/>
  <c r="F501" i="62917"/>
  <c r="J501" i="62917" s="1"/>
  <c r="F502" i="62917"/>
  <c r="M502" i="62917" s="1"/>
  <c r="F503" i="62917"/>
  <c r="M503" i="62917" s="1"/>
  <c r="F504" i="62917"/>
  <c r="M504" i="62917" s="1"/>
  <c r="F505" i="62917"/>
  <c r="J505" i="62917" s="1"/>
  <c r="F506" i="62917"/>
  <c r="J506" i="62917" s="1"/>
  <c r="F507" i="62917"/>
  <c r="J507" i="62917" s="1"/>
  <c r="F508" i="62917"/>
  <c r="J508" i="62917" s="1"/>
  <c r="G616" i="62917"/>
  <c r="N616" i="62917" s="1"/>
  <c r="G617" i="62917"/>
  <c r="K617" i="62917" s="1"/>
  <c r="K618" i="62917"/>
  <c r="K619" i="62917"/>
  <c r="G113" i="62917"/>
  <c r="G114" i="62917"/>
  <c r="K114" i="62917" s="1"/>
  <c r="G115" i="62917"/>
  <c r="K115" i="62917" s="1"/>
  <c r="G116" i="62917"/>
  <c r="K116" i="62917" s="1"/>
  <c r="G117" i="62917"/>
  <c r="K117" i="62917" s="1"/>
  <c r="N127" i="62917"/>
  <c r="G128" i="62917"/>
  <c r="N128" i="62917" s="1"/>
  <c r="G129" i="62917"/>
  <c r="K129" i="62917" s="1"/>
  <c r="G139" i="62917"/>
  <c r="G140" i="62917"/>
  <c r="N140" i="62917" s="1"/>
  <c r="G151" i="62917"/>
  <c r="N18" i="62917"/>
  <c r="K19" i="62917"/>
  <c r="G32" i="62917"/>
  <c r="G44" i="62917"/>
  <c r="G45" i="62917"/>
  <c r="G46" i="62917"/>
  <c r="L735" i="62917"/>
  <c r="L729" i="62917"/>
  <c r="N418" i="62917"/>
  <c r="N402" i="62917"/>
  <c r="L402" i="62917"/>
  <c r="I418" i="62917"/>
  <c r="L715" i="62917"/>
  <c r="L714" i="62917"/>
  <c r="L713" i="62917"/>
  <c r="L712" i="62917"/>
  <c r="L695" i="62917"/>
  <c r="L698" i="62917"/>
  <c r="L697" i="62917"/>
  <c r="L696" i="62917"/>
  <c r="L694" i="62917"/>
  <c r="L693" i="62917"/>
  <c r="L619" i="62917"/>
  <c r="L618" i="62917"/>
  <c r="L617" i="62917"/>
  <c r="L616" i="62917"/>
  <c r="K508" i="62917"/>
  <c r="K507" i="62917"/>
  <c r="K506" i="62917"/>
  <c r="K505" i="62917"/>
  <c r="K504" i="62917"/>
  <c r="K503" i="62917"/>
  <c r="K502" i="62917"/>
  <c r="K501" i="62917"/>
  <c r="K500" i="62917"/>
  <c r="K499" i="62917"/>
  <c r="K497" i="62917"/>
  <c r="K496" i="62917"/>
  <c r="K479" i="62917"/>
  <c r="K482" i="62917"/>
  <c r="K481" i="62917"/>
  <c r="K480" i="62917"/>
  <c r="K478" i="62917"/>
  <c r="K477" i="62917"/>
  <c r="L397" i="62917"/>
  <c r="L398" i="62917"/>
  <c r="L396" i="62917"/>
  <c r="L385" i="62917"/>
  <c r="L389" i="62917"/>
  <c r="L378" i="62917"/>
  <c r="L367" i="62917"/>
  <c r="I368" i="62917" s="1"/>
  <c r="L346" i="62917"/>
  <c r="I357" i="62917" s="1"/>
  <c r="T245" i="62917"/>
  <c r="T246" i="62917"/>
  <c r="T249" i="62917"/>
  <c r="L151" i="62917"/>
  <c r="I156" i="62917" s="1"/>
  <c r="L140" i="62917"/>
  <c r="L139" i="62917"/>
  <c r="L127" i="62917"/>
  <c r="L129" i="62917"/>
  <c r="L128" i="62917"/>
  <c r="L114" i="62917"/>
  <c r="L115" i="62917"/>
  <c r="L116" i="62917"/>
  <c r="L117" i="62917"/>
  <c r="I121" i="62917"/>
  <c r="L32" i="62917"/>
  <c r="I36" i="62917" s="1"/>
  <c r="L17" i="62917"/>
  <c r="I24" i="62917" s="1"/>
  <c r="B40" i="62916"/>
  <c r="X215" i="62917"/>
  <c r="W217" i="62917"/>
  <c r="X246" i="62917"/>
  <c r="N396" i="62917"/>
  <c r="N397" i="62917"/>
  <c r="N398" i="62917"/>
  <c r="B33" i="62916"/>
  <c r="B43" i="62916"/>
  <c r="B42" i="62916"/>
  <c r="B36" i="62916"/>
  <c r="B31" i="62916"/>
  <c r="B41" i="62916"/>
  <c r="B37" i="62916"/>
  <c r="B34" i="62916"/>
  <c r="B32" i="62916"/>
  <c r="B25" i="62916"/>
  <c r="B26" i="62916"/>
  <c r="B27" i="62916"/>
  <c r="B28" i="62916"/>
  <c r="B29" i="62916"/>
  <c r="B24" i="62916"/>
  <c r="B19" i="62916"/>
  <c r="B20" i="62916"/>
  <c r="B21" i="62916"/>
  <c r="B18" i="62916"/>
  <c r="B13" i="62916"/>
  <c r="B14" i="62916"/>
  <c r="B15" i="62916"/>
  <c r="B12" i="62916"/>
  <c r="B8" i="62916"/>
  <c r="B9" i="62916"/>
  <c r="B7" i="62916"/>
  <c r="B11" i="62916"/>
  <c r="B17" i="62916"/>
  <c r="B23" i="62916"/>
  <c r="D6" i="62905"/>
  <c r="D7" i="62905"/>
  <c r="D8" i="62905"/>
  <c r="D9" i="62905"/>
  <c r="D10" i="62905"/>
  <c r="D11" i="62905"/>
  <c r="D15" i="62905"/>
  <c r="O16" i="62905"/>
  <c r="F15" i="62905"/>
  <c r="P15" i="62905"/>
  <c r="M18" i="62905" s="1"/>
  <c r="D18" i="62905" s="1"/>
  <c r="Q17" i="62905"/>
  <c r="Q15" i="62905" s="1"/>
  <c r="I15" i="62905"/>
  <c r="E16" i="62905"/>
  <c r="M17" i="62905"/>
  <c r="D17" i="62905" s="1"/>
  <c r="F17" i="62905"/>
  <c r="P17" i="62905"/>
  <c r="G17" i="62905" s="1"/>
  <c r="M20" i="62905"/>
  <c r="D20" i="62905" s="1"/>
  <c r="O21" i="62905"/>
  <c r="F21" i="62905" s="1"/>
  <c r="F18" i="62905"/>
  <c r="G18" i="62905"/>
  <c r="S18" i="62905"/>
  <c r="J18" i="62905" s="1"/>
  <c r="F19" i="62905"/>
  <c r="H19" i="62905"/>
  <c r="I20" i="62905"/>
  <c r="G21" i="62905"/>
  <c r="J21" i="62905"/>
  <c r="X216" i="62917"/>
  <c r="E40" i="62916"/>
  <c r="E23" i="62916"/>
  <c r="M547" i="62917"/>
  <c r="E36" i="62916"/>
  <c r="W220" i="62917"/>
  <c r="E31" i="62916"/>
  <c r="E6" i="62916"/>
  <c r="E11" i="62916"/>
  <c r="E17" i="62916"/>
  <c r="G627" i="62917" l="1"/>
  <c r="S17" i="62905"/>
  <c r="J17" i="62905" s="1"/>
  <c r="H17" i="62905"/>
  <c r="Q16" i="62905"/>
  <c r="M19" i="62905"/>
  <c r="D19" i="62905" s="1"/>
  <c r="H15" i="62905"/>
  <c r="P20" i="62905"/>
  <c r="G20" i="62905" s="1"/>
  <c r="F16" i="62905"/>
  <c r="N15" i="62905"/>
  <c r="E15" i="62905" s="1"/>
  <c r="N17" i="62905"/>
  <c r="E17" i="62905" s="1"/>
  <c r="O20" i="62905"/>
  <c r="P16" i="62905"/>
  <c r="N386" i="62917"/>
  <c r="K386" i="62917"/>
  <c r="K367" i="62917"/>
  <c r="G368" i="62917"/>
  <c r="D428" i="62917" s="1"/>
  <c r="K729" i="62917"/>
  <c r="K736" i="62917" s="1"/>
  <c r="H746" i="62917" s="1"/>
  <c r="I746" i="62917" s="1"/>
  <c r="K17" i="62917"/>
  <c r="G24" i="62917"/>
  <c r="E58" i="62917" s="1"/>
  <c r="C7" i="62916" s="1"/>
  <c r="K32" i="62917"/>
  <c r="G36" i="62917"/>
  <c r="E59" i="62917" s="1"/>
  <c r="C8" i="62916" s="1"/>
  <c r="N44" i="62917"/>
  <c r="G50" i="62917"/>
  <c r="E60" i="62917" s="1"/>
  <c r="N46" i="62917"/>
  <c r="K46" i="62917"/>
  <c r="N45" i="62917"/>
  <c r="K45" i="62917"/>
  <c r="G156" i="62917"/>
  <c r="E167" i="62917" s="1"/>
  <c r="N151" i="62917"/>
  <c r="N156" i="62917" s="1"/>
  <c r="P156" i="62917" s="1"/>
  <c r="K113" i="62917"/>
  <c r="K121" i="62917" s="1"/>
  <c r="I164" i="62917" s="1"/>
  <c r="J164" i="62917" s="1"/>
  <c r="G121" i="62917"/>
  <c r="E164" i="62917" s="1"/>
  <c r="K139" i="62917"/>
  <c r="G144" i="62917"/>
  <c r="E166" i="62917" s="1"/>
  <c r="V216" i="62917"/>
  <c r="G133" i="62917"/>
  <c r="E165" i="62917" s="1"/>
  <c r="W215" i="62917"/>
  <c r="J221" i="62917"/>
  <c r="P215" i="62917"/>
  <c r="P221" i="62917" s="1"/>
  <c r="I221" i="62917"/>
  <c r="R221" i="62917"/>
  <c r="K221" i="62917"/>
  <c r="N715" i="62917"/>
  <c r="J502" i="62917"/>
  <c r="N697" i="62917"/>
  <c r="K616" i="62917"/>
  <c r="K627" i="62917" s="1"/>
  <c r="I645" i="62917" s="1"/>
  <c r="M505" i="62917"/>
  <c r="N698" i="62917"/>
  <c r="M506" i="62917"/>
  <c r="N19" i="62905"/>
  <c r="E19" i="62905" s="1"/>
  <c r="H16" i="62905"/>
  <c r="M21" i="62905"/>
  <c r="N18" i="62905"/>
  <c r="E18" i="62905" s="1"/>
  <c r="Q20" i="62905"/>
  <c r="P19" i="62905"/>
  <c r="G15" i="62905"/>
  <c r="H557" i="62917"/>
  <c r="M501" i="62917"/>
  <c r="J542" i="62917"/>
  <c r="Q215" i="62917"/>
  <c r="M542" i="62917"/>
  <c r="O542" i="62917" s="1"/>
  <c r="I736" i="62917"/>
  <c r="K694" i="62917"/>
  <c r="M496" i="62917"/>
  <c r="N713" i="62917"/>
  <c r="G418" i="62917"/>
  <c r="D432" i="62917" s="1"/>
  <c r="E432" i="62917" s="1"/>
  <c r="C29" i="62916" s="1"/>
  <c r="K409" i="62917"/>
  <c r="K418" i="62917" s="1"/>
  <c r="I432" i="62917" s="1"/>
  <c r="J432" i="62917" s="1"/>
  <c r="N714" i="62917"/>
  <c r="F557" i="62917"/>
  <c r="K695" i="62917"/>
  <c r="J503" i="62917"/>
  <c r="J498" i="62917"/>
  <c r="J504" i="62917"/>
  <c r="M508" i="62917"/>
  <c r="X237" i="62917"/>
  <c r="V228" i="62917"/>
  <c r="M478" i="62917"/>
  <c r="M482" i="62917"/>
  <c r="W229" i="62917"/>
  <c r="J250" i="62917"/>
  <c r="W237" i="62917"/>
  <c r="K44" i="62917"/>
  <c r="X259" i="62917"/>
  <c r="X264" i="62917"/>
  <c r="P266" i="62917"/>
  <c r="V230" i="62917"/>
  <c r="X229" i="62917"/>
  <c r="V262" i="62917"/>
  <c r="K379" i="62917"/>
  <c r="I429" i="62917" s="1"/>
  <c r="J429" i="62917" s="1"/>
  <c r="Q218" i="62917"/>
  <c r="X270" i="62917"/>
  <c r="Y270" i="62917" s="1"/>
  <c r="K346" i="62917"/>
  <c r="K357" i="62917" s="1"/>
  <c r="I427" i="62917" s="1"/>
  <c r="J427" i="62917" s="1"/>
  <c r="V261" i="62917"/>
  <c r="W246" i="62917"/>
  <c r="N115" i="62917"/>
  <c r="I284" i="62917"/>
  <c r="L217" i="62917"/>
  <c r="N378" i="62917"/>
  <c r="G379" i="62917"/>
  <c r="D429" i="62917" s="1"/>
  <c r="J557" i="62917"/>
  <c r="H568" i="62917" s="1"/>
  <c r="I568" i="62917" s="1"/>
  <c r="N619" i="62917"/>
  <c r="I379" i="62917"/>
  <c r="W245" i="62917"/>
  <c r="M507" i="62917"/>
  <c r="L228" i="62917"/>
  <c r="G390" i="62917"/>
  <c r="D430" i="62917" s="1"/>
  <c r="N116" i="62917"/>
  <c r="V217" i="62917"/>
  <c r="X278" i="62917"/>
  <c r="K18" i="62917"/>
  <c r="X219" i="62917"/>
  <c r="Q278" i="62917"/>
  <c r="W278" i="62917"/>
  <c r="Q245" i="62917"/>
  <c r="V237" i="62917"/>
  <c r="Q230" i="62917"/>
  <c r="S230" i="62917" s="1"/>
  <c r="X228" i="62917"/>
  <c r="V220" i="62917"/>
  <c r="X218" i="62917"/>
  <c r="V218" i="62917"/>
  <c r="K127" i="62917"/>
  <c r="N17" i="62917"/>
  <c r="K385" i="62917"/>
  <c r="N139" i="62917"/>
  <c r="N144" i="62917" s="1"/>
  <c r="K712" i="62917"/>
  <c r="K723" i="62917" s="1"/>
  <c r="H745" i="62917" s="1"/>
  <c r="I745" i="62917" s="1"/>
  <c r="V249" i="62917"/>
  <c r="P265" i="62917"/>
  <c r="M481" i="62917"/>
  <c r="N113" i="62917"/>
  <c r="X258" i="62917"/>
  <c r="L245" i="62917"/>
  <c r="K238" i="62917"/>
  <c r="L220" i="62917"/>
  <c r="N349" i="62917"/>
  <c r="Q261" i="62917"/>
  <c r="S261" i="62917" s="1"/>
  <c r="Q266" i="62917"/>
  <c r="N19" i="62917"/>
  <c r="I133" i="62917"/>
  <c r="G403" i="62917"/>
  <c r="D431" i="62917" s="1"/>
  <c r="E431" i="62917" s="1"/>
  <c r="C28" i="62916" s="1"/>
  <c r="L237" i="62917"/>
  <c r="L230" i="62917"/>
  <c r="J500" i="62917"/>
  <c r="N693" i="62917"/>
  <c r="N117" i="62917"/>
  <c r="X245" i="62917"/>
  <c r="X220" i="62917"/>
  <c r="I144" i="62917"/>
  <c r="G736" i="62917"/>
  <c r="C43" i="62916" s="1"/>
  <c r="Q228" i="62917"/>
  <c r="S228" i="62917" s="1"/>
  <c r="J238" i="62917"/>
  <c r="L218" i="62917"/>
  <c r="K128" i="62917"/>
  <c r="M480" i="62917"/>
  <c r="W219" i="62917"/>
  <c r="X217" i="62917"/>
  <c r="L246" i="62917"/>
  <c r="G706" i="62917"/>
  <c r="D744" i="62917" s="1"/>
  <c r="C41" i="62916" s="1"/>
  <c r="M557" i="62917"/>
  <c r="L568" i="62917" s="1"/>
  <c r="M568" i="62917" s="1"/>
  <c r="N617" i="62917"/>
  <c r="N367" i="62917"/>
  <c r="M479" i="62917"/>
  <c r="N389" i="62917"/>
  <c r="N348" i="62917"/>
  <c r="W258" i="62917"/>
  <c r="X230" i="62917"/>
  <c r="I403" i="62917"/>
  <c r="H490" i="62917"/>
  <c r="I723" i="62917"/>
  <c r="K140" i="62917"/>
  <c r="J477" i="62917"/>
  <c r="J490" i="62917" s="1"/>
  <c r="H566" i="62917" s="1"/>
  <c r="J497" i="62917"/>
  <c r="M497" i="62917"/>
  <c r="S237" i="62917"/>
  <c r="R250" i="62917"/>
  <c r="S216" i="62917"/>
  <c r="K278" i="62917"/>
  <c r="I250" i="62917"/>
  <c r="N347" i="62917"/>
  <c r="L229" i="62917"/>
  <c r="L249" i="62917"/>
  <c r="P245" i="62917"/>
  <c r="G723" i="62917"/>
  <c r="D745" i="62917" s="1"/>
  <c r="C42" i="62916" s="1"/>
  <c r="V219" i="62917"/>
  <c r="N32" i="62917"/>
  <c r="L216" i="62917"/>
  <c r="N114" i="62917"/>
  <c r="H523" i="62917"/>
  <c r="I627" i="62917"/>
  <c r="I706" i="62917"/>
  <c r="Q249" i="62917"/>
  <c r="N736" i="62917"/>
  <c r="J284" i="62917"/>
  <c r="V246" i="62917"/>
  <c r="G357" i="62917"/>
  <c r="D427" i="62917" s="1"/>
  <c r="Q220" i="62917"/>
  <c r="N618" i="62917"/>
  <c r="V245" i="62917"/>
  <c r="I238" i="62917"/>
  <c r="N250" i="62917"/>
  <c r="I390" i="62917"/>
  <c r="F490" i="62917"/>
  <c r="S246" i="62917"/>
  <c r="L215" i="62917"/>
  <c r="L219" i="62917"/>
  <c r="X249" i="62917"/>
  <c r="N696" i="62917"/>
  <c r="K250" i="62917"/>
  <c r="N129" i="62917"/>
  <c r="W216" i="62917"/>
  <c r="V264" i="62917"/>
  <c r="W260" i="62917"/>
  <c r="X263" i="62917"/>
  <c r="L264" i="62917"/>
  <c r="L260" i="62917"/>
  <c r="V263" i="62917"/>
  <c r="L261" i="62917"/>
  <c r="X262" i="62917"/>
  <c r="W259" i="62917"/>
  <c r="R265" i="62917"/>
  <c r="L258" i="62917"/>
  <c r="W264" i="62917"/>
  <c r="S258" i="62917"/>
  <c r="P259" i="62917"/>
  <c r="S259" i="62917" s="1"/>
  <c r="W263" i="62917"/>
  <c r="L270" i="62917"/>
  <c r="L265" i="62917"/>
  <c r="I271" i="62917"/>
  <c r="K271" i="62917"/>
  <c r="V258" i="62917"/>
  <c r="L259" i="62917"/>
  <c r="S264" i="62917"/>
  <c r="L262" i="62917"/>
  <c r="P270" i="62917"/>
  <c r="V260" i="62917"/>
  <c r="Q270" i="62917"/>
  <c r="W262" i="62917"/>
  <c r="L266" i="62917"/>
  <c r="W265" i="62917"/>
  <c r="Y265" i="62917" s="1"/>
  <c r="J271" i="62917"/>
  <c r="X261" i="62917"/>
  <c r="L263" i="62917"/>
  <c r="X266" i="62917"/>
  <c r="Y266" i="62917" s="1"/>
  <c r="S262" i="62917"/>
  <c r="X260" i="62917"/>
  <c r="R284" i="62917"/>
  <c r="R238" i="62917"/>
  <c r="S219" i="62917"/>
  <c r="J499" i="62917"/>
  <c r="M499" i="62917"/>
  <c r="F523" i="62917"/>
  <c r="D567" i="62917" s="1"/>
  <c r="C33" i="62916" s="1"/>
  <c r="M432" i="62917"/>
  <c r="N432" i="62917" s="1"/>
  <c r="P418" i="62917"/>
  <c r="S217" i="62917"/>
  <c r="K403" i="62917"/>
  <c r="I431" i="62917" s="1"/>
  <c r="J431" i="62917" s="1"/>
  <c r="S263" i="62917"/>
  <c r="S260" i="62917"/>
  <c r="N403" i="62917"/>
  <c r="K151" i="62917"/>
  <c r="K156" i="62917" s="1"/>
  <c r="P229" i="62917"/>
  <c r="V215" i="62917"/>
  <c r="E645" i="62917" l="1"/>
  <c r="E647" i="62917" s="1"/>
  <c r="R16" i="62905"/>
  <c r="I16" i="62905" s="1"/>
  <c r="N20" i="62905"/>
  <c r="E20" i="62905" s="1"/>
  <c r="M16" i="62905"/>
  <c r="D16" i="62905" s="1"/>
  <c r="F60" i="62917"/>
  <c r="C9" i="62916"/>
  <c r="C6" i="62916" s="1"/>
  <c r="H8" i="62916" s="1"/>
  <c r="R18" i="62905"/>
  <c r="I18" i="62905" s="1"/>
  <c r="J645" i="62917"/>
  <c r="J647" i="62917" s="1"/>
  <c r="I647" i="62917"/>
  <c r="G16" i="62905"/>
  <c r="N21" i="62905"/>
  <c r="F20" i="62905"/>
  <c r="R17" i="62905"/>
  <c r="I17" i="62905" s="1"/>
  <c r="K164" i="62917"/>
  <c r="J745" i="62917"/>
  <c r="K390" i="62917"/>
  <c r="I430" i="62917" s="1"/>
  <c r="J430" i="62917" s="1"/>
  <c r="N390" i="62917"/>
  <c r="P390" i="62917" s="1"/>
  <c r="D568" i="62917"/>
  <c r="D566" i="62917"/>
  <c r="N368" i="62917"/>
  <c r="M428" i="62917" s="1"/>
  <c r="N428" i="62917" s="1"/>
  <c r="K368" i="62917"/>
  <c r="I428" i="62917" s="1"/>
  <c r="N24" i="62917"/>
  <c r="M58" i="62917" s="1"/>
  <c r="N58" i="62917" s="1"/>
  <c r="K24" i="62917"/>
  <c r="I58" i="62917" s="1"/>
  <c r="J58" i="62917" s="1"/>
  <c r="N36" i="62917"/>
  <c r="P36" i="62917" s="1"/>
  <c r="K36" i="62917"/>
  <c r="I59" i="62917" s="1"/>
  <c r="J59" i="62917" s="1"/>
  <c r="K50" i="62917"/>
  <c r="I60" i="62917" s="1"/>
  <c r="K60" i="62917" s="1"/>
  <c r="N50" i="62917"/>
  <c r="P50" i="62917" s="1"/>
  <c r="N121" i="62917"/>
  <c r="M164" i="62917" s="1"/>
  <c r="N164" i="62917" s="1"/>
  <c r="M167" i="62917"/>
  <c r="N167" i="62917" s="1"/>
  <c r="Y216" i="62917"/>
  <c r="K133" i="62917"/>
  <c r="I165" i="62917" s="1"/>
  <c r="J165" i="62917" s="1"/>
  <c r="K144" i="62917"/>
  <c r="I166" i="62917" s="1"/>
  <c r="J166" i="62917" s="1"/>
  <c r="N133" i="62917"/>
  <c r="P133" i="62917" s="1"/>
  <c r="X221" i="62917"/>
  <c r="V221" i="62917"/>
  <c r="L221" i="62917"/>
  <c r="D298" i="62917" s="1"/>
  <c r="C18" i="62916" s="1"/>
  <c r="Q221" i="62917"/>
  <c r="W221" i="62917"/>
  <c r="I167" i="62917"/>
  <c r="J167" i="62917" s="1"/>
  <c r="S215" i="62917"/>
  <c r="K706" i="62917"/>
  <c r="H744" i="62917" s="1"/>
  <c r="H747" i="62917" s="1"/>
  <c r="Q18" i="62905"/>
  <c r="G19" i="62905"/>
  <c r="S15" i="62905"/>
  <c r="J15" i="62905" s="1"/>
  <c r="D21" i="62905"/>
  <c r="H20" i="62905"/>
  <c r="R19" i="62905"/>
  <c r="I19" i="62905" s="1"/>
  <c r="Y259" i="62917"/>
  <c r="N723" i="62917"/>
  <c r="P723" i="62917" s="1"/>
  <c r="K432" i="62917"/>
  <c r="O432" i="62917"/>
  <c r="Y228" i="62917"/>
  <c r="D746" i="62917"/>
  <c r="N746" i="62917" s="1"/>
  <c r="Y230" i="62917"/>
  <c r="Y237" i="62917"/>
  <c r="S266" i="62917"/>
  <c r="K284" i="62917"/>
  <c r="D301" i="62917" s="1"/>
  <c r="C21" i="62916" s="1"/>
  <c r="E430" i="62917"/>
  <c r="C27" i="62916" s="1"/>
  <c r="Y220" i="62917"/>
  <c r="K431" i="62917"/>
  <c r="O431" i="62917"/>
  <c r="Y229" i="62917"/>
  <c r="W238" i="62917"/>
  <c r="K165" i="62917"/>
  <c r="V238" i="62917"/>
  <c r="S218" i="62917"/>
  <c r="F165" i="62917"/>
  <c r="C13" i="62916" s="1"/>
  <c r="Q250" i="62917"/>
  <c r="O165" i="62917"/>
  <c r="K429" i="62917"/>
  <c r="E429" i="62917"/>
  <c r="C26" i="62916" s="1"/>
  <c r="W284" i="62917"/>
  <c r="Y246" i="62917"/>
  <c r="W250" i="62917"/>
  <c r="N379" i="62917"/>
  <c r="M429" i="62917" s="1"/>
  <c r="N429" i="62917" s="1"/>
  <c r="Q284" i="62917"/>
  <c r="O428" i="62917"/>
  <c r="K428" i="62917"/>
  <c r="E428" i="62917"/>
  <c r="C25" i="62916" s="1"/>
  <c r="O429" i="62917"/>
  <c r="N627" i="62917"/>
  <c r="Y278" i="62917"/>
  <c r="S278" i="62917"/>
  <c r="S284" i="62917" s="1"/>
  <c r="I301" i="62917" s="1"/>
  <c r="J301" i="62917" s="1"/>
  <c r="Y218" i="62917"/>
  <c r="Y217" i="62917"/>
  <c r="Y245" i="62917"/>
  <c r="K166" i="62917"/>
  <c r="F166" i="62917"/>
  <c r="C14" i="62916" s="1"/>
  <c r="O166" i="62917"/>
  <c r="M166" i="62917"/>
  <c r="N166" i="62917" s="1"/>
  <c r="P144" i="62917"/>
  <c r="X284" i="62917"/>
  <c r="L250" i="62917"/>
  <c r="M523" i="62917"/>
  <c r="L567" i="62917" s="1"/>
  <c r="M567" i="62917" s="1"/>
  <c r="X238" i="62917"/>
  <c r="N706" i="62917"/>
  <c r="L744" i="62917" s="1"/>
  <c r="N744" i="62917" s="1"/>
  <c r="O557" i="62917"/>
  <c r="Y219" i="62917"/>
  <c r="S265" i="62917"/>
  <c r="X250" i="62917"/>
  <c r="L238" i="62917"/>
  <c r="Y258" i="62917"/>
  <c r="J523" i="62917"/>
  <c r="H567" i="62917" s="1"/>
  <c r="I567" i="62917" s="1"/>
  <c r="Q238" i="62917"/>
  <c r="S249" i="62917"/>
  <c r="E744" i="62917"/>
  <c r="V250" i="62917"/>
  <c r="F58" i="62917"/>
  <c r="E168" i="62917"/>
  <c r="M490" i="62917"/>
  <c r="L566" i="62917" s="1"/>
  <c r="P432" i="62917"/>
  <c r="F164" i="62917"/>
  <c r="C12" i="62916" s="1"/>
  <c r="Y249" i="62917"/>
  <c r="L746" i="62917"/>
  <c r="M746" i="62917" s="1"/>
  <c r="P736" i="62917"/>
  <c r="E427" i="62917"/>
  <c r="C24" i="62916" s="1"/>
  <c r="C40" i="62916"/>
  <c r="H14" i="62916" s="1"/>
  <c r="L14" i="62916" s="1"/>
  <c r="Y264" i="62917"/>
  <c r="D293" i="62917"/>
  <c r="S245" i="62917"/>
  <c r="P250" i="62917"/>
  <c r="N357" i="62917"/>
  <c r="D433" i="62917"/>
  <c r="E791" i="62917" s="1"/>
  <c r="E745" i="62917"/>
  <c r="S220" i="62917"/>
  <c r="K427" i="62917"/>
  <c r="W271" i="62917"/>
  <c r="P271" i="62917"/>
  <c r="S270" i="62917"/>
  <c r="Y263" i="62917"/>
  <c r="R271" i="62917"/>
  <c r="X271" i="62917"/>
  <c r="Y260" i="62917"/>
  <c r="Q271" i="62917"/>
  <c r="Y262" i="62917"/>
  <c r="L271" i="62917"/>
  <c r="D300" i="62917" s="1"/>
  <c r="V271" i="62917"/>
  <c r="Y261" i="62917"/>
  <c r="D294" i="62917"/>
  <c r="D292" i="62917"/>
  <c r="E567" i="62917"/>
  <c r="F59" i="62917"/>
  <c r="S229" i="62917"/>
  <c r="S238" i="62917" s="1"/>
  <c r="P238" i="62917"/>
  <c r="I566" i="62917"/>
  <c r="Y215" i="62917"/>
  <c r="O167" i="62917"/>
  <c r="K167" i="62917"/>
  <c r="F167" i="62917"/>
  <c r="C15" i="62916" s="1"/>
  <c r="P403" i="62917"/>
  <c r="M431" i="62917"/>
  <c r="N431" i="62917" s="1"/>
  <c r="P431" i="62917" s="1"/>
  <c r="E61" i="62917"/>
  <c r="F645" i="62917" l="1"/>
  <c r="F647" i="62917" s="1"/>
  <c r="G646" i="62917" s="1"/>
  <c r="K645" i="62917"/>
  <c r="N566" i="62917"/>
  <c r="C32" i="62916"/>
  <c r="N568" i="62917"/>
  <c r="C34" i="62916"/>
  <c r="E300" i="62917"/>
  <c r="C20" i="62916"/>
  <c r="K301" i="62917"/>
  <c r="J568" i="62917"/>
  <c r="O164" i="62917"/>
  <c r="M645" i="62917"/>
  <c r="O645" i="62917" s="1"/>
  <c r="E568" i="62917"/>
  <c r="O568" i="62917" s="1"/>
  <c r="K58" i="62917"/>
  <c r="S16" i="62905"/>
  <c r="J16" i="62905" s="1"/>
  <c r="E21" i="62905"/>
  <c r="J744" i="62917"/>
  <c r="K647" i="62917"/>
  <c r="K430" i="62917"/>
  <c r="N567" i="62917"/>
  <c r="J567" i="62917"/>
  <c r="K59" i="62917"/>
  <c r="M430" i="62917"/>
  <c r="O58" i="62917"/>
  <c r="P368" i="62917"/>
  <c r="E566" i="62917"/>
  <c r="J566" i="62917"/>
  <c r="D569" i="62917"/>
  <c r="J428" i="62917"/>
  <c r="J433" i="62917" s="1"/>
  <c r="I433" i="62917"/>
  <c r="K433" i="62917" s="1"/>
  <c r="I292" i="62917"/>
  <c r="J292" i="62917" s="1"/>
  <c r="M292" i="62917"/>
  <c r="O292" i="62917" s="1"/>
  <c r="D299" i="62917"/>
  <c r="C19" i="62916" s="1"/>
  <c r="M59" i="62917"/>
  <c r="P167" i="62917"/>
  <c r="J60" i="62917"/>
  <c r="J61" i="62917" s="1"/>
  <c r="I61" i="62917"/>
  <c r="I788" i="62917" s="1"/>
  <c r="J788" i="62917" s="1"/>
  <c r="M165" i="62917"/>
  <c r="N165" i="62917" s="1"/>
  <c r="N168" i="62917" s="1"/>
  <c r="S221" i="62917"/>
  <c r="I298" i="62917" s="1"/>
  <c r="J298" i="62917" s="1"/>
  <c r="Y221" i="62917"/>
  <c r="P379" i="62917"/>
  <c r="J168" i="62917"/>
  <c r="J746" i="62917"/>
  <c r="I744" i="62917"/>
  <c r="I747" i="62917" s="1"/>
  <c r="P706" i="62917"/>
  <c r="L745" i="62917"/>
  <c r="C23" i="62916"/>
  <c r="E746" i="62917"/>
  <c r="O746" i="62917" s="1"/>
  <c r="H18" i="62905"/>
  <c r="Q21" i="62905"/>
  <c r="D747" i="62917"/>
  <c r="E794" i="62917" s="1"/>
  <c r="Y284" i="62917"/>
  <c r="AA284" i="62917" s="1"/>
  <c r="I569" i="62917"/>
  <c r="Y238" i="62917"/>
  <c r="AA238" i="62917" s="1"/>
  <c r="E301" i="62917"/>
  <c r="M60" i="62917"/>
  <c r="I168" i="62917"/>
  <c r="K168" i="62917" s="1"/>
  <c r="E789" i="62917"/>
  <c r="P24" i="62917"/>
  <c r="E433" i="62917"/>
  <c r="F430" i="62917" s="1"/>
  <c r="P429" i="62917"/>
  <c r="P164" i="62917"/>
  <c r="P121" i="62917"/>
  <c r="I294" i="62917"/>
  <c r="J294" i="62917" s="1"/>
  <c r="P58" i="62917"/>
  <c r="C11" i="62916"/>
  <c r="H9" i="62916" s="1"/>
  <c r="L9" i="62916" s="1"/>
  <c r="S271" i="62917"/>
  <c r="I300" i="62917" s="1"/>
  <c r="J300" i="62917" s="1"/>
  <c r="P627" i="62917"/>
  <c r="P166" i="62917"/>
  <c r="Y250" i="62917"/>
  <c r="AA250" i="62917" s="1"/>
  <c r="O523" i="62917"/>
  <c r="E793" i="62917"/>
  <c r="S250" i="62917"/>
  <c r="I299" i="62917" s="1"/>
  <c r="J299" i="62917" s="1"/>
  <c r="M294" i="62917"/>
  <c r="N294" i="62917" s="1"/>
  <c r="H569" i="62917"/>
  <c r="I792" i="62917" s="1"/>
  <c r="J792" i="62917" s="1"/>
  <c r="O490" i="62917"/>
  <c r="I293" i="62917"/>
  <c r="J293" i="62917" s="1"/>
  <c r="E293" i="62917"/>
  <c r="M293" i="62917"/>
  <c r="N293" i="62917" s="1"/>
  <c r="O567" i="62917"/>
  <c r="M427" i="62917"/>
  <c r="P357" i="62917"/>
  <c r="Y271" i="62917"/>
  <c r="M300" i="62917" s="1"/>
  <c r="N300" i="62917" s="1"/>
  <c r="E292" i="62917"/>
  <c r="E294" i="62917"/>
  <c r="M744" i="62917"/>
  <c r="I793" i="62917"/>
  <c r="J793" i="62917" s="1"/>
  <c r="F791" i="62917"/>
  <c r="P428" i="62917"/>
  <c r="E788" i="62917"/>
  <c r="I794" i="62917"/>
  <c r="J794" i="62917" s="1"/>
  <c r="F168" i="62917"/>
  <c r="G164" i="62917" s="1"/>
  <c r="L569" i="62917"/>
  <c r="M792" i="62917" s="1"/>
  <c r="N792" i="62917" s="1"/>
  <c r="M566" i="62917"/>
  <c r="F61" i="62917"/>
  <c r="O293" i="62917" l="1"/>
  <c r="K293" i="62917"/>
  <c r="C37" i="62916"/>
  <c r="C36" i="62916" s="1"/>
  <c r="H13" i="62916" s="1"/>
  <c r="L13" i="62916" s="1"/>
  <c r="G645" i="62917"/>
  <c r="G647" i="62917" s="1"/>
  <c r="P300" i="62917"/>
  <c r="C31" i="62916"/>
  <c r="H12" i="62916" s="1"/>
  <c r="L12" i="62916" s="1"/>
  <c r="P165" i="62917"/>
  <c r="P168" i="62917" s="1"/>
  <c r="K294" i="62917"/>
  <c r="M647" i="62917"/>
  <c r="M793" i="62917" s="1"/>
  <c r="N793" i="62917" s="1"/>
  <c r="N645" i="62917"/>
  <c r="N647" i="62917" s="1"/>
  <c r="E569" i="62917"/>
  <c r="F566" i="62917" s="1"/>
  <c r="O294" i="62917"/>
  <c r="M745" i="62917"/>
  <c r="O745" i="62917" s="1"/>
  <c r="N745" i="62917"/>
  <c r="K793" i="62917"/>
  <c r="N427" i="62917"/>
  <c r="P427" i="62917" s="1"/>
  <c r="O427" i="62917"/>
  <c r="E747" i="62917"/>
  <c r="F744" i="62917" s="1"/>
  <c r="J569" i="62917"/>
  <c r="N430" i="62917"/>
  <c r="P430" i="62917" s="1"/>
  <c r="O430" i="62917"/>
  <c r="K300" i="62917"/>
  <c r="K61" i="62917"/>
  <c r="K292" i="62917"/>
  <c r="O300" i="62917"/>
  <c r="N59" i="62917"/>
  <c r="P59" i="62917" s="1"/>
  <c r="O59" i="62917"/>
  <c r="H11" i="62916"/>
  <c r="L11" i="62916" s="1"/>
  <c r="L8" i="62916"/>
  <c r="N569" i="62917"/>
  <c r="E792" i="62917"/>
  <c r="F792" i="62917" s="1"/>
  <c r="P792" i="62917" s="1"/>
  <c r="I791" i="62917"/>
  <c r="M168" i="62917"/>
  <c r="K299" i="62917"/>
  <c r="E299" i="62917"/>
  <c r="D302" i="62917"/>
  <c r="N60" i="62917"/>
  <c r="P60" i="62917" s="1"/>
  <c r="O60" i="62917"/>
  <c r="L747" i="62917"/>
  <c r="M794" i="62917" s="1"/>
  <c r="N794" i="62917" s="1"/>
  <c r="J747" i="62917"/>
  <c r="H21" i="62905"/>
  <c r="S19" i="62905"/>
  <c r="I789" i="62917"/>
  <c r="J789" i="62917" s="1"/>
  <c r="M301" i="62917"/>
  <c r="F789" i="62917"/>
  <c r="M61" i="62917"/>
  <c r="F428" i="62917"/>
  <c r="F429" i="62917"/>
  <c r="F432" i="62917"/>
  <c r="F427" i="62917"/>
  <c r="F431" i="62917"/>
  <c r="M299" i="62917"/>
  <c r="N299" i="62917" s="1"/>
  <c r="F793" i="62917"/>
  <c r="K298" i="62917"/>
  <c r="P294" i="62917"/>
  <c r="C17" i="62916"/>
  <c r="E298" i="62917"/>
  <c r="AA271" i="62917"/>
  <c r="I302" i="62917"/>
  <c r="P293" i="62917"/>
  <c r="M433" i="62917"/>
  <c r="J302" i="62917"/>
  <c r="F794" i="62917"/>
  <c r="K794" i="62917"/>
  <c r="M569" i="62917"/>
  <c r="O566" i="62917"/>
  <c r="O569" i="62917" s="1"/>
  <c r="K788" i="62917"/>
  <c r="F788" i="62917"/>
  <c r="O744" i="62917"/>
  <c r="G58" i="62917"/>
  <c r="G60" i="62917"/>
  <c r="G59" i="62917"/>
  <c r="G167" i="62917"/>
  <c r="G165" i="62917"/>
  <c r="G166" i="62917"/>
  <c r="N292" i="62917"/>
  <c r="P292" i="62917" s="1"/>
  <c r="O793" i="62917" l="1"/>
  <c r="P433" i="62917"/>
  <c r="N301" i="62917"/>
  <c r="P301" i="62917" s="1"/>
  <c r="O301" i="62917"/>
  <c r="F568" i="62917"/>
  <c r="F567" i="62917"/>
  <c r="P645" i="62917"/>
  <c r="P647" i="62917" s="1"/>
  <c r="P793" i="62917"/>
  <c r="O647" i="62917"/>
  <c r="M747" i="62917"/>
  <c r="N433" i="62917"/>
  <c r="O747" i="62917"/>
  <c r="O794" i="62917"/>
  <c r="F746" i="62917"/>
  <c r="M789" i="62917"/>
  <c r="O168" i="62917"/>
  <c r="F745" i="62917"/>
  <c r="N747" i="62917"/>
  <c r="O792" i="62917"/>
  <c r="O299" i="62917"/>
  <c r="K302" i="62917"/>
  <c r="P61" i="62917"/>
  <c r="H10" i="62916"/>
  <c r="L10" i="62916" s="1"/>
  <c r="P299" i="62917"/>
  <c r="K792" i="62917"/>
  <c r="M791" i="62917"/>
  <c r="O433" i="62917"/>
  <c r="J791" i="62917"/>
  <c r="K791" i="62917"/>
  <c r="E302" i="62917"/>
  <c r="F292" i="62917" s="1"/>
  <c r="E790" i="62917"/>
  <c r="F790" i="62917" s="1"/>
  <c r="F795" i="62917" s="1"/>
  <c r="N61" i="62917"/>
  <c r="M788" i="62917"/>
  <c r="O61" i="62917"/>
  <c r="K789" i="62917"/>
  <c r="P794" i="62917"/>
  <c r="J19" i="62905"/>
  <c r="S20" i="62905"/>
  <c r="F433" i="62917"/>
  <c r="I790" i="62917"/>
  <c r="J790" i="62917" s="1"/>
  <c r="G61" i="62917"/>
  <c r="AA221" i="62917"/>
  <c r="M298" i="62917"/>
  <c r="O298" i="62917" s="1"/>
  <c r="K15" i="62916"/>
  <c r="G168" i="62917"/>
  <c r="F569" i="62917" l="1"/>
  <c r="F747" i="62917"/>
  <c r="N789" i="62917"/>
  <c r="P789" i="62917" s="1"/>
  <c r="O789" i="62917"/>
  <c r="E795" i="62917"/>
  <c r="F294" i="62917"/>
  <c r="H15" i="62916"/>
  <c r="F300" i="62917"/>
  <c r="J795" i="62917"/>
  <c r="N791" i="62917"/>
  <c r="P791" i="62917" s="1"/>
  <c r="O791" i="62917"/>
  <c r="F299" i="62917"/>
  <c r="F298" i="62917"/>
  <c r="F301" i="62917"/>
  <c r="F293" i="62917"/>
  <c r="K790" i="62917"/>
  <c r="N788" i="62917"/>
  <c r="P788" i="62917" s="1"/>
  <c r="O788" i="62917"/>
  <c r="R21" i="62905"/>
  <c r="I21" i="62905" s="1"/>
  <c r="J20" i="62905"/>
  <c r="I795" i="62917"/>
  <c r="N298" i="62917"/>
  <c r="M302" i="62917"/>
  <c r="G792" i="62917"/>
  <c r="G791" i="62917"/>
  <c r="G793" i="62917"/>
  <c r="G794" i="62917"/>
  <c r="G788" i="62917"/>
  <c r="G790" i="62917"/>
  <c r="G789" i="62917"/>
  <c r="I14" i="62916" l="1"/>
  <c r="I8" i="62916"/>
  <c r="K795" i="62917"/>
  <c r="I11" i="62916"/>
  <c r="I9" i="62916"/>
  <c r="L15" i="62916"/>
  <c r="I12" i="62916"/>
  <c r="I13" i="62916"/>
  <c r="M790" i="62917"/>
  <c r="O790" i="62917" s="1"/>
  <c r="O302" i="62917"/>
  <c r="I10" i="62916"/>
  <c r="F302" i="62917"/>
  <c r="N302" i="62917"/>
  <c r="P298" i="62917"/>
  <c r="P302" i="62917" s="1"/>
  <c r="G795" i="62917"/>
  <c r="I15" i="62916" l="1"/>
  <c r="M795" i="62917"/>
  <c r="O795" i="62917" s="1"/>
  <c r="N790" i="62917"/>
  <c r="N795" i="62917" s="1"/>
  <c r="P790" i="62917" l="1"/>
  <c r="P795" i="629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Mathieu Farges</author>
    <author>Avenir Climatique</author>
  </authors>
  <commentList>
    <comment ref="E212" authorId="0" shapeId="0" xr:uid="{00000000-0006-0000-0100-000001000000}">
      <text>
        <r>
          <rPr>
            <b/>
            <sz val="9"/>
            <color indexed="81"/>
            <rFont val="Tahoma"/>
            <family val="2"/>
          </rPr>
          <t>A trouver dans Base Empreinte de l'ADEME :)</t>
        </r>
      </text>
    </comment>
    <comment ref="F222" authorId="1" shapeId="0" xr:uid="{00000000-0006-0000-0100-000002000000}">
      <text>
        <r>
          <rPr>
            <b/>
            <sz val="9"/>
            <color indexed="81"/>
            <rFont val="Tahoma"/>
            <family val="2"/>
          </rPr>
          <t>Avenir Climatique:</t>
        </r>
        <r>
          <rPr>
            <sz val="9"/>
            <color indexed="81"/>
            <rFont val="Tahoma"/>
            <family val="2"/>
          </rPr>
          <t xml:space="preserve">
SHON = Surface Hors Œuvre Net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guill</author>
    <author>padillas</author>
    <author>Francis</author>
  </authors>
  <commentList>
    <comment ref="F127" authorId="0" shapeId="0" xr:uid="{00000000-0006-0000-0200-000003000000}">
      <text>
        <r>
          <rPr>
            <sz val="9"/>
            <color indexed="81"/>
            <rFont val="Tahoma"/>
            <family val="2"/>
          </rPr>
          <t xml:space="preserve">A compléter au cas par cas
</t>
        </r>
      </text>
    </comment>
    <comment ref="F128" authorId="0" shapeId="0" xr:uid="{00000000-0006-0000-0200-000004000000}">
      <text>
        <r>
          <rPr>
            <sz val="9"/>
            <color indexed="81"/>
            <rFont val="Tahoma"/>
            <family val="2"/>
          </rPr>
          <t xml:space="preserve">A compléter au cas par cas
</t>
        </r>
      </text>
    </comment>
    <comment ref="F129" authorId="0" shapeId="0" xr:uid="{00000000-0006-0000-0200-000005000000}">
      <text>
        <r>
          <rPr>
            <sz val="9"/>
            <color indexed="81"/>
            <rFont val="Tahoma"/>
            <family val="2"/>
          </rPr>
          <t xml:space="preserve">A compléter au cas par cas
</t>
        </r>
      </text>
    </comment>
    <comment ref="F130" authorId="0" shapeId="0" xr:uid="{00000000-0006-0000-0200-000006000000}">
      <text>
        <r>
          <rPr>
            <sz val="9"/>
            <color indexed="81"/>
            <rFont val="Tahoma"/>
            <family val="2"/>
          </rPr>
          <t xml:space="preserve">A compléter au cas par cas
</t>
        </r>
      </text>
    </comment>
    <comment ref="F131" authorId="0" shapeId="0" xr:uid="{00000000-0006-0000-0200-000007000000}">
      <text>
        <r>
          <rPr>
            <sz val="9"/>
            <color indexed="81"/>
            <rFont val="Tahoma"/>
            <family val="2"/>
          </rPr>
          <t xml:space="preserve">A compléter au cas par cas
</t>
        </r>
      </text>
    </comment>
    <comment ref="F132" authorId="0" shapeId="0" xr:uid="{00000000-0006-0000-0200-000008000000}">
      <text>
        <r>
          <rPr>
            <sz val="9"/>
            <color indexed="81"/>
            <rFont val="Tahoma"/>
            <family val="2"/>
          </rPr>
          <t xml:space="preserve">A compléter au cas par cas
</t>
        </r>
      </text>
    </comment>
    <comment ref="C149" authorId="1" shapeId="0" xr:uid="{00000000-0006-0000-0200-000009000000}">
      <text>
        <r>
          <rPr>
            <sz val="8"/>
            <color indexed="81"/>
            <rFont val="Tahoma"/>
            <family val="2"/>
          </rPr>
          <t>evp est le terme standard utilisé par la marine marchande pour qualifier la capacité d'un porte conteneur. Ce terme signifie "équivalent vingt pieds", c'est à dire le volume d'un conteneur standard, dont la longueur est de 20 pieds. Le volume d'un tel conteneur est de 36,6 m3 (soit 6m x 2,44m x 2,5 m).
5 000 evp signifie donc que le bateau peut transporter 5 000 conteneurs standard de 36,6 m3 ou encore un volume total de 183 000 m3 de fret.</t>
        </r>
      </text>
    </comment>
    <comment ref="I221" authorId="2" shapeId="0" xr:uid="{00000000-0006-0000-0200-00000A000000}">
      <text>
        <r>
          <rPr>
            <sz val="8"/>
            <color indexed="81"/>
            <rFont val="Tahoma"/>
            <family val="2"/>
          </rPr>
          <t>Emissions sur le parcours domicile-travail.</t>
        </r>
      </text>
    </comment>
    <comment ref="J221" authorId="2" shapeId="0" xr:uid="{00000000-0006-0000-0200-00000B000000}">
      <text>
        <r>
          <rPr>
            <sz val="8"/>
            <color indexed="81"/>
            <rFont val="Tahoma"/>
            <family val="2"/>
          </rPr>
          <t>Emissions hors du parcours domicile-travail.</t>
        </r>
      </text>
    </comment>
    <comment ref="K221" authorId="2" shapeId="0" xr:uid="{00000000-0006-0000-0200-00000C000000}">
      <text>
        <r>
          <rPr>
            <sz val="8"/>
            <color indexed="81"/>
            <rFont val="Tahoma"/>
            <family val="2"/>
          </rPr>
          <t>Emissions de déplacement de visiteurs.</t>
        </r>
      </text>
    </comment>
    <comment ref="L221" authorId="2" shapeId="0" xr:uid="{00000000-0006-0000-0200-00000D000000}">
      <text>
        <r>
          <rPr>
            <sz val="8"/>
            <color indexed="81"/>
            <rFont val="Tahoma"/>
            <family val="2"/>
          </rPr>
          <t>Total des émissions.</t>
        </r>
      </text>
    </comment>
    <comment ref="P221" authorId="2" shapeId="0" xr:uid="{00000000-0006-0000-0200-00000E000000}">
      <text>
        <r>
          <rPr>
            <b/>
            <sz val="8"/>
            <color indexed="81"/>
            <rFont val="Tahoma"/>
            <family val="2"/>
          </rPr>
          <t>Incertitude sur les émissions de déplacement domicile-travail</t>
        </r>
      </text>
    </comment>
    <comment ref="Q221" authorId="2" shapeId="0" xr:uid="{00000000-0006-0000-0200-00000F000000}">
      <text>
        <r>
          <rPr>
            <b/>
            <sz val="8"/>
            <color indexed="81"/>
            <rFont val="Tahoma"/>
            <family val="2"/>
          </rPr>
          <t>Incertitude sur les émissions de déplacement hors domicile-travail</t>
        </r>
      </text>
    </comment>
    <comment ref="R221" authorId="2" shapeId="0" xr:uid="{00000000-0006-0000-0200-000010000000}">
      <text>
        <r>
          <rPr>
            <b/>
            <sz val="8"/>
            <color indexed="81"/>
            <rFont val="Tahoma"/>
            <family val="2"/>
          </rPr>
          <t>Incertitude sur les émissions de déplacement des visiteurs</t>
        </r>
      </text>
    </comment>
    <comment ref="S221" authorId="2" shapeId="0" xr:uid="{00000000-0006-0000-0200-000011000000}">
      <text>
        <r>
          <rPr>
            <b/>
            <sz val="8"/>
            <color indexed="81"/>
            <rFont val="Tahoma"/>
            <family val="2"/>
          </rPr>
          <t>Incertitude sur le total des émissions</t>
        </r>
      </text>
    </comment>
    <comment ref="V221" authorId="2" shapeId="0" xr:uid="{00000000-0006-0000-0200-000012000000}">
      <text>
        <r>
          <rPr>
            <sz val="8"/>
            <color indexed="81"/>
            <rFont val="Tahoma"/>
            <family val="2"/>
          </rPr>
          <t>Objectif de réduction à long terme sur les émissions de déplacement domicile-travail.</t>
        </r>
      </text>
    </comment>
    <comment ref="W221" authorId="2" shapeId="0" xr:uid="{00000000-0006-0000-0200-000013000000}">
      <text>
        <r>
          <rPr>
            <sz val="8"/>
            <color indexed="81"/>
            <rFont val="Tahoma"/>
            <family val="2"/>
          </rPr>
          <t>Objectif de réduction à long terme sur les émissions de déplacement hors domicile-travail.</t>
        </r>
      </text>
    </comment>
    <comment ref="X221" authorId="2" shapeId="0" xr:uid="{00000000-0006-0000-0200-000014000000}">
      <text>
        <r>
          <rPr>
            <sz val="8"/>
            <color indexed="81"/>
            <rFont val="Tahoma"/>
            <family val="2"/>
          </rPr>
          <t>Objectif de réduction à long terme sur les émissions de déplacement des visiteurs.</t>
        </r>
      </text>
    </comment>
    <comment ref="Y221" authorId="2" shapeId="0" xr:uid="{00000000-0006-0000-0200-000015000000}">
      <text>
        <r>
          <rPr>
            <sz val="8"/>
            <color indexed="81"/>
            <rFont val="Tahoma"/>
            <family val="2"/>
          </rPr>
          <t>Objectif de réduction à long terme sur le total des émissions.</t>
        </r>
      </text>
    </comment>
    <comment ref="G278" authorId="0" shapeId="0" xr:uid="{00000000-0006-0000-0200-000016000000}">
      <text>
        <r>
          <rPr>
            <sz val="9"/>
            <color indexed="81"/>
            <rFont val="Tahoma"/>
            <family val="2"/>
          </rPr>
          <t xml:space="preserve">A compléter au cas par cas
</t>
        </r>
      </text>
    </comment>
    <comment ref="G279" authorId="0" shapeId="0" xr:uid="{00000000-0006-0000-0200-000017000000}">
      <text>
        <r>
          <rPr>
            <sz val="9"/>
            <color indexed="81"/>
            <rFont val="Tahoma"/>
            <family val="2"/>
          </rPr>
          <t xml:space="preserve">A compléter au cas par cas
</t>
        </r>
      </text>
    </comment>
    <comment ref="G280" authorId="0" shapeId="0" xr:uid="{00000000-0006-0000-0200-000018000000}">
      <text>
        <r>
          <rPr>
            <sz val="9"/>
            <color indexed="81"/>
            <rFont val="Tahoma"/>
            <family val="2"/>
          </rPr>
          <t xml:space="preserve">A compléter au cas par cas
</t>
        </r>
      </text>
    </comment>
    <comment ref="G281" authorId="0" shapeId="0" xr:uid="{00000000-0006-0000-0200-000019000000}">
      <text>
        <r>
          <rPr>
            <sz val="9"/>
            <color indexed="81"/>
            <rFont val="Tahoma"/>
            <family val="2"/>
          </rPr>
          <t xml:space="preserve">A compléter au cas par cas
</t>
        </r>
      </text>
    </comment>
    <comment ref="G282" authorId="0" shapeId="0" xr:uid="{00000000-0006-0000-0200-00001A000000}">
      <text>
        <r>
          <rPr>
            <sz val="9"/>
            <color indexed="81"/>
            <rFont val="Tahoma"/>
            <family val="2"/>
          </rPr>
          <t xml:space="preserve">A compléter au cas par cas
</t>
        </r>
      </text>
    </comment>
    <comment ref="G283" authorId="0" shapeId="0" xr:uid="{00000000-0006-0000-0200-00001B000000}">
      <text>
        <r>
          <rPr>
            <sz val="9"/>
            <color indexed="81"/>
            <rFont val="Tahoma"/>
            <family val="2"/>
          </rPr>
          <t xml:space="preserve">A compléter au cas par cas
</t>
        </r>
      </text>
    </comment>
  </commentList>
</comments>
</file>

<file path=xl/sharedStrings.xml><?xml version="1.0" encoding="utf-8"?>
<sst xmlns="http://schemas.openxmlformats.org/spreadsheetml/2006/main" count="2117" uniqueCount="459">
  <si>
    <t>Train en Suisse</t>
  </si>
  <si>
    <t>Joule</t>
  </si>
  <si>
    <t>KWh PCI</t>
  </si>
  <si>
    <t>BTU</t>
  </si>
  <si>
    <t>m3 de gaz nat.</t>
  </si>
  <si>
    <t>Nombre</t>
  </si>
  <si>
    <t>Train en Italie</t>
  </si>
  <si>
    <t>GPL</t>
  </si>
  <si>
    <t>Sources fixes</t>
  </si>
  <si>
    <t>Immobilisations</t>
  </si>
  <si>
    <t>t bois 20% humidité</t>
  </si>
  <si>
    <t>TOTAL</t>
  </si>
  <si>
    <t>Résiduel</t>
  </si>
  <si>
    <t>Fioul domestique</t>
  </si>
  <si>
    <t>Farine</t>
  </si>
  <si>
    <t>Déchets directs</t>
  </si>
  <si>
    <t>Train en Espagne</t>
  </si>
  <si>
    <t>Informatique</t>
  </si>
  <si>
    <t>POSTE</t>
  </si>
  <si>
    <t>Emissions</t>
  </si>
  <si>
    <t>Déplacements domicile-travail</t>
  </si>
  <si>
    <t>Train au Luxembourg</t>
  </si>
  <si>
    <t>R134a</t>
  </si>
  <si>
    <t>Fuites de fluides frigorigènes</t>
  </si>
  <si>
    <t>Gaz naturel</t>
  </si>
  <si>
    <t>Total</t>
  </si>
  <si>
    <t>Type de parcours</t>
  </si>
  <si>
    <t>Visiteurs</t>
  </si>
  <si>
    <t>TGV</t>
  </si>
  <si>
    <t>Fret routier</t>
  </si>
  <si>
    <t>Fret aérien</t>
  </si>
  <si>
    <t>Fret ferroviaire</t>
  </si>
  <si>
    <t>Domicile-travail</t>
  </si>
  <si>
    <t>Hors dom-travail</t>
  </si>
  <si>
    <t>Kilomètres parcourus :</t>
  </si>
  <si>
    <t>Dom-Travail</t>
  </si>
  <si>
    <t>Hors dom-tr</t>
  </si>
  <si>
    <t>Km parcourus (cumulés sur le nb de passagers) :</t>
  </si>
  <si>
    <t>Déplacements professionnels hors domicile-travail</t>
  </si>
  <si>
    <t>Déplacements des visiteurs</t>
  </si>
  <si>
    <t>Voiture</t>
  </si>
  <si>
    <t>Autres modes routiers</t>
  </si>
  <si>
    <t>Train</t>
  </si>
  <si>
    <t>Avion</t>
  </si>
  <si>
    <t>Train au Royaume Uni</t>
  </si>
  <si>
    <t>Train en Allemagne</t>
  </si>
  <si>
    <t>Train en Belgique</t>
  </si>
  <si>
    <t>Bâtiments</t>
  </si>
  <si>
    <t>en %</t>
  </si>
  <si>
    <t>%</t>
  </si>
  <si>
    <t>Electricité</t>
  </si>
  <si>
    <t>Soude 50%</t>
  </si>
  <si>
    <t>Source</t>
  </si>
  <si>
    <t>DEPLACEMENTS DE PERSONNES</t>
  </si>
  <si>
    <t>SOURCES FIXES</t>
  </si>
  <si>
    <t>FRET</t>
  </si>
  <si>
    <t>kWh PCS</t>
  </si>
  <si>
    <t>kWh PCI</t>
  </si>
  <si>
    <t>Essence</t>
  </si>
  <si>
    <t>Diesel, fioul domestique</t>
  </si>
  <si>
    <t>Charbon</t>
  </si>
  <si>
    <t>Incertitude</t>
  </si>
  <si>
    <t>Fret</t>
  </si>
  <si>
    <t>Combustible</t>
  </si>
  <si>
    <t>Fioul lourd</t>
  </si>
  <si>
    <t>Thon et autres poissons tropicaux</t>
  </si>
  <si>
    <t>en % du total</t>
  </si>
  <si>
    <t>% du total</t>
  </si>
  <si>
    <t>tonne bois 20% hum</t>
  </si>
  <si>
    <t>kwh PCI</t>
  </si>
  <si>
    <t>DECHETS DIRECTS</t>
  </si>
  <si>
    <t>IMMOBILISATIONS</t>
  </si>
  <si>
    <t>Acide sulfurique</t>
  </si>
  <si>
    <t>conversion des unités</t>
  </si>
  <si>
    <t>tep</t>
  </si>
  <si>
    <t>tec</t>
  </si>
  <si>
    <t>Produits chimiques &amp; textiles de synthèse</t>
  </si>
  <si>
    <t>Métaux</t>
  </si>
  <si>
    <t>Plastiques</t>
  </si>
  <si>
    <t>Verres</t>
  </si>
  <si>
    <t>Fret maritime</t>
  </si>
  <si>
    <t>Restaurant Universitaire</t>
  </si>
  <si>
    <t>Viandes et poissons</t>
  </si>
  <si>
    <t>RESTAURANT UNIVERSITAIRE</t>
  </si>
  <si>
    <t>Consommables et matériaux</t>
  </si>
  <si>
    <t>Répartition par type de trajet, Eq. C</t>
  </si>
  <si>
    <t>Répartition par type de véhicule</t>
  </si>
  <si>
    <t>POSTES</t>
  </si>
  <si>
    <t>Rapport PCS / PCI</t>
  </si>
  <si>
    <t>t bois 20% hum.</t>
  </si>
  <si>
    <t>ELECTRICITE</t>
  </si>
  <si>
    <t>Type de courrier</t>
  </si>
  <si>
    <t>Type de véhicule</t>
  </si>
  <si>
    <t>Unité</t>
  </si>
  <si>
    <t>Valeur</t>
  </si>
  <si>
    <t>Tep</t>
  </si>
  <si>
    <t>Tec</t>
  </si>
  <si>
    <t>Type de 2 roues</t>
  </si>
  <si>
    <t>Type et localisation du train</t>
  </si>
  <si>
    <t>Nature du métal</t>
  </si>
  <si>
    <t>Nature du plastique</t>
  </si>
  <si>
    <t>Nature du verre</t>
  </si>
  <si>
    <t>Nature du papier ou du carton</t>
  </si>
  <si>
    <t>Nature du produit chimique</t>
  </si>
  <si>
    <t>Nature du produit agricole</t>
  </si>
  <si>
    <t>Nature du déchet</t>
  </si>
  <si>
    <t>Type de construction</t>
  </si>
  <si>
    <t>Type d'équipement</t>
  </si>
  <si>
    <t>TOTALISATEUR</t>
  </si>
  <si>
    <t>Action de réduction</t>
  </si>
  <si>
    <t>Nature du gaz utilisé</t>
  </si>
  <si>
    <t>Objectif de réduction</t>
  </si>
  <si>
    <t>Type de fret ferroviaire</t>
  </si>
  <si>
    <t>IMMOBILISATIONS, équivalent carbone</t>
  </si>
  <si>
    <t>Déplacement de personnes</t>
  </si>
  <si>
    <t>Autres (produits manufacturés ou services)</t>
  </si>
  <si>
    <t>Nature du produit ou service</t>
  </si>
  <si>
    <t xml:space="preserve">Nature du produit </t>
  </si>
  <si>
    <t>CONSOMMABLES ET MATERIAUX</t>
  </si>
  <si>
    <t>Autres équipements</t>
  </si>
  <si>
    <t>Combustibles fossiles</t>
  </si>
  <si>
    <t>m3 de Gaz Naturel</t>
  </si>
  <si>
    <t>Gaz Naturel</t>
  </si>
  <si>
    <t>Tonne bois 20% humidité</t>
  </si>
  <si>
    <t>Convertisseur : passage de PCS en PCI</t>
  </si>
  <si>
    <t>Convertisseur : passage de diverses unités physiques vers d'autres unités</t>
  </si>
  <si>
    <t>Huile de tournesol</t>
  </si>
  <si>
    <t>Quelles sont les émissions liées aux fuites de gaz frigorigènes (climatisation, chambres froides, etc.) ?</t>
  </si>
  <si>
    <t>Quelle est la consommation totale en électricité du campus ?</t>
  </si>
  <si>
    <t>SOURCES FIXES, Equivalent Carbone</t>
  </si>
  <si>
    <t>CONSOMMABLES ET MATERIAUX, Equivalent Carbone</t>
  </si>
  <si>
    <t>DECHETS DIRECTS Equivalent Carbone</t>
  </si>
  <si>
    <t>COMBUSTIBLES FOSSILES</t>
  </si>
  <si>
    <t>RESULTATS DES SOURCES FIXES</t>
  </si>
  <si>
    <t>RECAPITULATIF EQUIVALENT CARBONE</t>
  </si>
  <si>
    <t>Quelle est la somme des tonnes de marchandise transportées par km sur le fret routier pour chaque type de véhicule et livrées pour le campus ?</t>
  </si>
  <si>
    <t>Quelle est la somme des tonnes de marchandise transportées par km sur le fret aérien pour chaque type de courrier et livrées pour le campus ?</t>
  </si>
  <si>
    <t>Quelle est la somme des tonnes de marchandise transportées par km sur le fret ferroviaire et livrées pour le campus ?</t>
  </si>
  <si>
    <t>RESULTATS FRET</t>
  </si>
  <si>
    <t>Quelle est la somme des tonnes de marchandise transportées par km sur le fret maritime et livrées pour le campus ?</t>
  </si>
  <si>
    <t>Quelle est la somme des km parcourus par type de trajet en voiture pour toutes les personnes accédant au campus ?</t>
  </si>
  <si>
    <t>Quelle est la somme des km parcourus par type de bus pour toutes les parcours relatifs au campus (voyages études, ramassages étudiant, etc) ?</t>
  </si>
  <si>
    <t>Quelle est la somme des km parcourus pour tout type de trajet en train pour toutes les parcours relatifs au campus (voyages études, ramassages étudiant, etc) ?</t>
  </si>
  <si>
    <t>Quelle est la somme des km parcourus pour tout type de courrier en avion pour toutes les parcours relatifs au campus (voyages études, ramassages étudiant, etc) ?</t>
  </si>
  <si>
    <t>RESULTATS DEPLACEMENTS DE PERSONNES</t>
  </si>
  <si>
    <t>RECAPITULATIF EQUIVALENT CARBONE par type de véhicule</t>
  </si>
  <si>
    <t>RECAPITULATIF EQUIVALENT CARBONE par type de trajet</t>
  </si>
  <si>
    <t>Quelles sont les quantités de métaux consommées chaque année pour les activités du campus (par métal) ?</t>
  </si>
  <si>
    <t>Quelles sont les quantités de verres consommées chaque année pour les activités du campus (par nature du verre) ?</t>
  </si>
  <si>
    <t>Quelles sont les quantités totales de plastique consommées chaque année pour les activités du campus ?</t>
  </si>
  <si>
    <t>Quelles sont les quantités de papiers et de cartons consommées chaque année pour les activités du campus ?</t>
  </si>
  <si>
    <t>Quelles sont les quantités de produits chimiques consommées chaque année pour les activités du campus ?</t>
  </si>
  <si>
    <t>Quelles sont les quantités d'autres produits et services consommées chaque année pour les activités du campus (catégories à déterminer) ?</t>
  </si>
  <si>
    <t>RESULTATS CONSOMMABLES ET MATERIAUX</t>
  </si>
  <si>
    <t>Papiers et cartons</t>
  </si>
  <si>
    <t>Quelles sont les quantités de poissons et de viandes consommées par an sur le campus ?</t>
  </si>
  <si>
    <t>Quelles sont les quantités d'autres produits alimentaires consommées par an sur le campus ?</t>
  </si>
  <si>
    <t>RESULTATS RESTAURANT UNIVERSITAIRE</t>
  </si>
  <si>
    <t>Autres produits alimentaires</t>
  </si>
  <si>
    <t>Quelles sont les quantités de déchets produits par an par les activités du campus ?</t>
  </si>
  <si>
    <t>RESULTATS DECHETS DIRECTS</t>
  </si>
  <si>
    <t>Quelles sont les superficies des bâtiments du campus dont il s'agit d'évaluer les émissions quant à leur immobilisaiton ?</t>
  </si>
  <si>
    <t>Quelles sont les quantités d'équipements informatiques et bureautiques utilisés pour les activités du campus ?</t>
  </si>
  <si>
    <t>Quelles sont les quantités d'autres équipements utilisés pour les activités du campus (à déterminer) ?</t>
  </si>
  <si>
    <t>RESULTATS IMMOBILISATIONS</t>
  </si>
  <si>
    <t>Action de réduction planifiée :</t>
  </si>
  <si>
    <t>RESULTATS CAMPUS, TOTAL EQUIVALENT CARBONE</t>
  </si>
  <si>
    <t>Kilomètres parcourus (cumulés sur le nb de passagers) :</t>
  </si>
  <si>
    <t>Quelle est la somme des km parcourus par type de 2 roues pour toutes les parcours relatifs au campus (voyages études, ramassages étudiant, etc) ?</t>
  </si>
  <si>
    <t>Acier ou fer blanc neuf (produits plats)</t>
  </si>
  <si>
    <t>Acier ou fer blanc recyclé 100%</t>
  </si>
  <si>
    <t>Aluminium neuf</t>
  </si>
  <si>
    <t>Aluminium recyclé 100%</t>
  </si>
  <si>
    <t>Plomb</t>
  </si>
  <si>
    <t>Quelles sont les consommations de combustibles fossiles du campus quel qu'en soit l'usage ?</t>
  </si>
  <si>
    <t>Déplacements de personnes</t>
  </si>
  <si>
    <t>Restaurant universitaire</t>
  </si>
  <si>
    <t>Déchêts directs</t>
  </si>
  <si>
    <t>Quantité</t>
  </si>
  <si>
    <t>Sinon, valeurs moyennes des repas ?</t>
  </si>
  <si>
    <t>Repas moyen</t>
  </si>
  <si>
    <t>Repas végétarien</t>
  </si>
  <si>
    <t>Déchets direct</t>
  </si>
  <si>
    <t>Immobilisation</t>
  </si>
  <si>
    <t>Catégorie</t>
  </si>
  <si>
    <t>Source d'émission</t>
  </si>
  <si>
    <t>Facteur d'émission (eq CO2)</t>
  </si>
  <si>
    <t>Dernière mise à jour</t>
  </si>
  <si>
    <t xml:space="preserve">FRET </t>
  </si>
  <si>
    <t>DEPLACEMENT DE PERSONNES</t>
  </si>
  <si>
    <t>Sous catégorie</t>
  </si>
  <si>
    <t>Incertitude (%)</t>
  </si>
  <si>
    <t>kgCO2e/kWh PCI</t>
  </si>
  <si>
    <t>kgCO2e/kWh</t>
  </si>
  <si>
    <t>kgCO2e/km</t>
  </si>
  <si>
    <t>kgCO2e/passager.km</t>
  </si>
  <si>
    <t>kgCO2e/tonne</t>
  </si>
  <si>
    <t>Verre d'emballage (ex : bouteille)</t>
  </si>
  <si>
    <t>Herbicides, par kg de matière active</t>
  </si>
  <si>
    <t>Acide chlorhydrique</t>
  </si>
  <si>
    <t>Poisson (pêche, moyenne européenne)</t>
  </si>
  <si>
    <t>Beurre - doux</t>
  </si>
  <si>
    <t>Côtelettes d'Agneau - poids ingéré après achat en magasin</t>
  </si>
  <si>
    <t>Viande de porc - poids ingéré après achat en magasin</t>
  </si>
  <si>
    <t>Viande de veau - moyen France - poids ingéré après achat en magasin</t>
  </si>
  <si>
    <t>Poulet entier - entier - poids ingéré après achat en magasin</t>
  </si>
  <si>
    <t>Fromage - à pâte dure (type emmental) - poids ingéré après achat en magasin</t>
  </si>
  <si>
    <t>Fromage - frais de chèvre - poids ingéré après achat en magasin</t>
  </si>
  <si>
    <t>Pain - poids ingéré après achat en magasin</t>
  </si>
  <si>
    <t>Maïs - poids ingéré après achat en magasin</t>
  </si>
  <si>
    <t>Huile d'olive</t>
  </si>
  <si>
    <t>Lait - de vache, semi-écrémé, pasteurisé - poids ingéré après achat en magasin</t>
  </si>
  <si>
    <t>Sucre de canne</t>
  </si>
  <si>
    <t>Sucre de betterave</t>
  </si>
  <si>
    <t>kgCO2e/L</t>
  </si>
  <si>
    <t>kgCO2e/repas</t>
  </si>
  <si>
    <t>Garage - structure en béton</t>
  </si>
  <si>
    <t>kgCO2e/m²</t>
  </si>
  <si>
    <t>kgCO2e/m² SHON</t>
  </si>
  <si>
    <t>Bâtiments de bureaux</t>
  </si>
  <si>
    <t>Etablissement d'enseignement - structure en béton</t>
  </si>
  <si>
    <t xml:space="preserve">kgCO2e/m² </t>
  </si>
  <si>
    <t>Autobus - agglomérations de plus de 250 000 habitants</t>
  </si>
  <si>
    <t>kgCO2e/tonne.km</t>
  </si>
  <si>
    <t>Plastique</t>
  </si>
  <si>
    <t>Verre</t>
  </si>
  <si>
    <t>Papier et carton</t>
  </si>
  <si>
    <t>Produits chimiques</t>
  </si>
  <si>
    <t>Autres</t>
  </si>
  <si>
    <t>Repas moyens</t>
  </si>
  <si>
    <t>Déchets</t>
  </si>
  <si>
    <t>Equipements informatiques et bureautiques</t>
  </si>
  <si>
    <t>kgCO2e</t>
  </si>
  <si>
    <t>kgCO2e/tonne de matière active</t>
  </si>
  <si>
    <t>Yaourt - poids ingéré après achat en magasin</t>
  </si>
  <si>
    <t>kgCO2e/tonne de poids vif</t>
  </si>
  <si>
    <t>kgCO2e/tonne d'ingrédient ingéré</t>
  </si>
  <si>
    <t>kgCO2e par tonne.km</t>
  </si>
  <si>
    <t>kgCO2e à long terme</t>
  </si>
  <si>
    <t>Comment utiliser cet outil?</t>
  </si>
  <si>
    <t>Tableur PCC - Projet Carbone Campus</t>
  </si>
  <si>
    <t>A quoi sert cet outil ?</t>
  </si>
  <si>
    <t>Le tableur PCC est à mis à disposition selon les termes de</t>
  </si>
  <si>
    <t>la licence Creative Commons Attribution 4.0 Internationale</t>
  </si>
  <si>
    <t>La version de référence de cet outil est disponible sur le site web d'Avenir Climatique.</t>
  </si>
  <si>
    <t>FUITES DE FLUIDE FRIGORIGENES</t>
  </si>
  <si>
    <t>Fuites : secteur Tertiaire</t>
  </si>
  <si>
    <t>Climatisation DRV (bureaux)</t>
  </si>
  <si>
    <t>Climatisation armoire (baie informatique)</t>
  </si>
  <si>
    <t>Climatisation Rooftop (amphi)</t>
  </si>
  <si>
    <t>Taux de fuite</t>
  </si>
  <si>
    <t>Kg émis par an</t>
  </si>
  <si>
    <t>Equipements</t>
  </si>
  <si>
    <t>Puissance de l'équipement</t>
  </si>
  <si>
    <t>P &lt; 50 kW</t>
  </si>
  <si>
    <t>50 &lt; P &lt; 350 kW</t>
  </si>
  <si>
    <t>P &gt; 350 kW</t>
  </si>
  <si>
    <t>Surface refroidie (m2)</t>
  </si>
  <si>
    <t>Fuites : secteur Tertiaire, par puissance d'équipement</t>
  </si>
  <si>
    <t>R407c</t>
  </si>
  <si>
    <t>kgCO2e/kg</t>
  </si>
  <si>
    <t>R410a</t>
  </si>
  <si>
    <t>R32</t>
  </si>
  <si>
    <t>Consommable et matériaux</t>
  </si>
  <si>
    <t>Steak de bœuf - moyen France - poids ingéré après achat en magasin</t>
  </si>
  <si>
    <t>Fromage - à pâte molle (type camembert) - poids ingéré après achat en magasin</t>
  </si>
  <si>
    <t>Œuf - moyenne nationale - poids ingéré après achat en magasin</t>
  </si>
  <si>
    <r>
      <rPr>
        <b/>
        <sz val="10"/>
        <color theme="3"/>
        <rFont val="Arial"/>
        <family val="2"/>
      </rPr>
      <t xml:space="preserve">Cet outil est utilisé dans le cadre du Projet Carbone Campus pour réaliser le bilan carbone d'un campus.
</t>
    </r>
    <r>
      <rPr>
        <sz val="10"/>
        <color theme="1"/>
        <rFont val="Arial"/>
        <family val="2"/>
      </rPr>
      <t xml:space="preserve">
Si quelqu'un vous a transmis ce tableur sans formation préalable, nous vous recommandons de contacter le Réseau Français des Etudiants pour le Développement Durable (REFEDD) : http://refedd.org/projet-carbone-campus/
L’outil permet de comptabiliser les émissions de gaz à effet de serre d'un campus. La finalité de l’outil consiste à introduire la méthode du Bilan Carbone aux étudiants et les assister dans la réalisation d'un plan d'action auprès de la direction de l'établissement et autres parties prenantes.
Cet outil n'a pas pour vocation à être utilisé pour un Bilan Carbone® officiel. Pour obtenir le tableur officiel, se rapprocher de l'Association Bilan Carbone (ABC) : https://www.associationbilancarbone.fr/</t>
    </r>
  </si>
  <si>
    <t>CONVERTISSEURS ENERGETIQUES</t>
  </si>
  <si>
    <t>Deux roues</t>
  </si>
  <si>
    <t>Ferroviaire</t>
  </si>
  <si>
    <t>Aérien</t>
  </si>
  <si>
    <t>Transports urbains</t>
  </si>
  <si>
    <t>Gaz frigorifique</t>
  </si>
  <si>
    <t xml:space="preserve">Combustible </t>
  </si>
  <si>
    <t>*
*
*
*
*</t>
  </si>
  <si>
    <t>*
*
*</t>
  </si>
  <si>
    <t>*
*
*
*
*
*</t>
  </si>
  <si>
    <t>FUITES DE FLUIDES FRIGORIGENES (Climatisation)</t>
  </si>
  <si>
    <t>ATTENTION : lorsque vous entrez une valeur dans une des cases à fond orange, le maintien d'une valeur nulle (0) dans une des cases à fond blanc et police noire ne signifie pas que le résultat est nul, mais simplement que l'arrondi est nul.</t>
  </si>
  <si>
    <t>FRET ROUTIER</t>
  </si>
  <si>
    <t>FRET AERIEN</t>
  </si>
  <si>
    <t>FRET FERROVIAIRE</t>
  </si>
  <si>
    <t>Taux de pertes en ligne</t>
  </si>
  <si>
    <t>Nb de tonne.km</t>
  </si>
  <si>
    <t>Fabrication + carburant kgCO2e par tonne.km avec amont</t>
  </si>
  <si>
    <t>Fact. d'émission (%)</t>
  </si>
  <si>
    <t>Données (%)</t>
  </si>
  <si>
    <t>Objectif (%)</t>
  </si>
  <si>
    <t>Nb de tonnes.km</t>
  </si>
  <si>
    <t>Forcage radiatif kgCO2e par tonne.km</t>
  </si>
  <si>
    <t>Tonnes.km effectuées</t>
  </si>
  <si>
    <t>FRET FLUVIAL / MARITIME</t>
  </si>
  <si>
    <t>EMISSIONS DU SITE CAMPUS 1</t>
  </si>
  <si>
    <t>Fret fluvial / maritime</t>
  </si>
  <si>
    <t>Type de fret maritime / fluvial</t>
  </si>
  <si>
    <t>CO2 seul kgCO2e/tonne.km avec amont</t>
  </si>
  <si>
    <t>kgCO2e/kWh PCI avec amont</t>
  </si>
  <si>
    <t>Consommation (kWh PCI)</t>
  </si>
  <si>
    <t>kg émis par an</t>
  </si>
  <si>
    <t>kgCO2e par kg</t>
  </si>
  <si>
    <t>Consommation (kWh)</t>
  </si>
  <si>
    <t>kgCO2e par kWh</t>
  </si>
  <si>
    <t>Pour toute remarque ou question concernant cette outil, merci de nous contacter : contact@avenirclimatique.org</t>
  </si>
  <si>
    <t>tCO2e</t>
  </si>
  <si>
    <t>kgCO2e par km parcouru</t>
  </si>
  <si>
    <t>A COMPLETER DANS FACTEURS D'EMISSIONS</t>
  </si>
  <si>
    <t>Emissions de CO2</t>
  </si>
  <si>
    <t>TRANSPORTS URBAINS</t>
  </si>
  <si>
    <t>AUTOMOBILE</t>
  </si>
  <si>
    <t>DEUX ROUES</t>
  </si>
  <si>
    <t>FERROVIAIRE</t>
  </si>
  <si>
    <t>AERIEN</t>
  </si>
  <si>
    <t>METAUX</t>
  </si>
  <si>
    <t>PLASTIQUES</t>
  </si>
  <si>
    <t>PAPIERS / CARTONS</t>
  </si>
  <si>
    <t>VERRES</t>
  </si>
  <si>
    <t>PRODUITS CHIMIQUES</t>
  </si>
  <si>
    <t>SERVICES ET PRODUITS DIVERS</t>
  </si>
  <si>
    <t>Services et produits divers</t>
  </si>
  <si>
    <t>kgCO2/tonne</t>
  </si>
  <si>
    <t>VIANDES / POISSONS</t>
  </si>
  <si>
    <t>Boissons</t>
  </si>
  <si>
    <t>BOISSONS</t>
  </si>
  <si>
    <t>OPTION 2 : APPROCHE PAR LES REPAS MOYENS</t>
  </si>
  <si>
    <t>DECHETS</t>
  </si>
  <si>
    <t>BATIMENTS</t>
  </si>
  <si>
    <t>EQUIPEMENTS BUREAUTIQUES ET INFORMATIQUES</t>
  </si>
  <si>
    <t xml:space="preserve">Pour toute question ou pour trouver de nouveaux facteurs d'émissions : </t>
  </si>
  <si>
    <t>kgCO2e par passager.km</t>
  </si>
  <si>
    <t>kgCO2e par pers.km</t>
  </si>
  <si>
    <t>Forcage radiatif (kgCO2e) par pers.km</t>
  </si>
  <si>
    <t xml:space="preserve">Objectif de réduction </t>
  </si>
  <si>
    <t xml:space="preserve">Données (%) </t>
  </si>
  <si>
    <t>Tonnes utilisées</t>
  </si>
  <si>
    <t>kgCO2e par tonne</t>
  </si>
  <si>
    <t>Service - Assurance, services bancaires, conseil et honoraires</t>
  </si>
  <si>
    <t>Service - Courrier</t>
  </si>
  <si>
    <t>Service - Télécommunications</t>
  </si>
  <si>
    <t>Service - Réparation et installation de machines et d'équipements</t>
  </si>
  <si>
    <t>Service - Hébergement et restauration</t>
  </si>
  <si>
    <t>kgCO2e/keuro</t>
  </si>
  <si>
    <t>keuros facturés</t>
  </si>
  <si>
    <t>kgCO2e/keuros</t>
  </si>
  <si>
    <t>L consommés</t>
  </si>
  <si>
    <t>kgCO2e par L</t>
  </si>
  <si>
    <t>kgCO2e par repas</t>
  </si>
  <si>
    <t>Tonnes jetées</t>
  </si>
  <si>
    <t>AUTRES ALIMENTS</t>
  </si>
  <si>
    <t>Autres aliments</t>
  </si>
  <si>
    <t>Viande / Poissons</t>
  </si>
  <si>
    <t>Base Carbone ADEME</t>
  </si>
  <si>
    <t>Repas</t>
  </si>
  <si>
    <t>AUTRES EQUIPEMENTS SPECIFIQUES</t>
  </si>
  <si>
    <t>Nombre d'équipements</t>
  </si>
  <si>
    <t>kgCO2e par équipement</t>
  </si>
  <si>
    <t>Superficies (m2)</t>
  </si>
  <si>
    <t>kgCO2e/m2</t>
  </si>
  <si>
    <t>Durée d'amortissement (années)</t>
  </si>
  <si>
    <t>Autres équipements spécifiques</t>
  </si>
  <si>
    <t>Période de validité</t>
  </si>
  <si>
    <t>Outil développé sur la base de la méthode Bilan Carbone® par AVENIR CLIMATIQUE</t>
  </si>
  <si>
    <t>Total des émissions</t>
  </si>
  <si>
    <t>Total des incertitudes</t>
  </si>
  <si>
    <t>SITE 1</t>
  </si>
  <si>
    <t>SITE 2</t>
  </si>
  <si>
    <t>SITE 3</t>
  </si>
  <si>
    <t>L'onglet principal (Campus site) permet : 
- de renseigner les différentes quantités impactant le campus, sur les différents poste : de "sources fixes" à "immobilisations"
- d'en déduire son impact climatique en eq-CO2
- de se fixer des objectifs de réduction d'émissions de GES
L'onglet Facteur d'émission permet de vérifier les facteurs d'émissions utilisés dans l'onglet principal et d'en ajouter de nouveaux.
L'onglet Totalisateur permet de voir le résultat de son bilan, et poursuivre la démarche itérative.
L'onglet Convertisseurs permet de faire quelques conversions d'unités, et d'estimer les fuites de fluides frigorigènes.
Une notice détaillée de l'outil est disponible.</t>
  </si>
  <si>
    <t>Quelles sont les quantités d'eaux usées rejetées chaque année par an par les activités du campus ?</t>
  </si>
  <si>
    <t>m3 jetés</t>
  </si>
  <si>
    <t>Eaux usées</t>
  </si>
  <si>
    <t>EAUX USEES</t>
  </si>
  <si>
    <t>Automobile</t>
  </si>
  <si>
    <t>https://base-empreinte.ademe.fr/</t>
  </si>
  <si>
    <t>Base Empreinte ADEME</t>
  </si>
  <si>
    <t>Bois granulé / Combustion en chaudière / Label E+</t>
  </si>
  <si>
    <t>Traitement des eaux usées - Hors infrastructures</t>
  </si>
  <si>
    <t>kgCO2e/m3</t>
  </si>
  <si>
    <t>kgCO2e par m3</t>
  </si>
  <si>
    <t>R427a</t>
  </si>
  <si>
    <t>R507a</t>
  </si>
  <si>
    <t>GIEC AR6</t>
  </si>
  <si>
    <t>R22 (gaz interdit à la vente et à l'utilisation depuis 2015)</t>
  </si>
  <si>
    <t>R404a (gaz interdit à la vente depuis 2020 et à l'utilisation depuis 2025)</t>
  </si>
  <si>
    <t>Camion porteur - Diesel avec 7% biodiesel, PTAC 20T</t>
  </si>
  <si>
    <t>Camion porteur - Diesel avec 7% biodiesel, PTRA 26T</t>
  </si>
  <si>
    <t>Camion porteur - Diesel avec 7% biodiesel, PTAC 7,5T</t>
  </si>
  <si>
    <t>Camion porteur - Diesel avec 7% biodiesel, PTRA 40T</t>
  </si>
  <si>
    <t>Véhicule Utilitaire Léger - Essence</t>
  </si>
  <si>
    <t>Avion (marchandises) - plus de 220 sièges, trajet de 2000 - 5000 km</t>
  </si>
  <si>
    <t>Avion (marchandises) - plus de 220 sièges, trajet &gt; 5000 km</t>
  </si>
  <si>
    <t>Avion (marchandises) - plus de 220 sièges, trajet de 1000 - 2000 km avec trainées</t>
  </si>
  <si>
    <t>Train de marchandises (France) - motorisation électrique, chargement dense</t>
  </si>
  <si>
    <t>Train de marchandises (Europe) - Gazole</t>
  </si>
  <si>
    <t>Porte-conteneurs (moyenne mondiale)</t>
  </si>
  <si>
    <t>Porte-conteneurs frigorifique (moyenne mondiale)</t>
  </si>
  <si>
    <t>Voiture particulière (moyenne; essence)</t>
  </si>
  <si>
    <t>Voiture particulière (moyenne; diesel)</t>
  </si>
  <si>
    <t>Autobus - agglomérations de 100 000 à 250 000 habitants</t>
  </si>
  <si>
    <t>Autobus - agglomérations de moins de 100 000 habitants</t>
  </si>
  <si>
    <t>RER - Ile de France</t>
  </si>
  <si>
    <t>Métro - Ile de France</t>
  </si>
  <si>
    <t>Tramway - - agglomérations de 100 000 à 250 000 habitants</t>
  </si>
  <si>
    <t>Moto - cylindrée sup. à 250 cm³, essence, zone urbaine</t>
  </si>
  <si>
    <t>Moto - cylindrée inf. à 250 cm³, essence, zone urbaine</t>
  </si>
  <si>
    <t>TER - Traction moyenne</t>
  </si>
  <si>
    <t>Intercités</t>
  </si>
  <si>
    <t>Avion (voyageurs) - plus de 220 sièges, trajet de 1000 - 2000 km avec trainées</t>
  </si>
  <si>
    <t>Avion (voyageurs) - plus de 220 sièges, trajet de 1000 - 2000 km sans trainées</t>
  </si>
  <si>
    <t>Avion (voyageurs) - plus de 220 sièges, trajet &lt; 1000 km sans trainées</t>
  </si>
  <si>
    <t>Avion (voyageurs) - plus de 220 sièges, trajet &gt; 5000 km avec trainées</t>
  </si>
  <si>
    <t>Avion (voyageurs) - plus de 220 sièges, trajet &lt; 1000 km avec trainées</t>
  </si>
  <si>
    <t>Cuivre recyclé</t>
  </si>
  <si>
    <t>Cuivre neuf</t>
  </si>
  <si>
    <t>Zinc neuf</t>
  </si>
  <si>
    <t>Plastique neuf (moyenne)</t>
  </si>
  <si>
    <t>Carton (neuf non imprimé)</t>
  </si>
  <si>
    <t>Papier (moyenne - hors utilisation et fin de vie)</t>
  </si>
  <si>
    <t>Service - Publicité et études de marché</t>
  </si>
  <si>
    <t>Service - Services spécialisés, scientfiques et techniques</t>
  </si>
  <si>
    <t>Service - Travaux d'impression et de reproduction</t>
  </si>
  <si>
    <t>Repas à dominante animale (avec boeuf)</t>
  </si>
  <si>
    <t>Repas à dominante animale (avec poulet)</t>
  </si>
  <si>
    <t>Papier - Incinération</t>
  </si>
  <si>
    <t>Carton - Fin de vie moyenne</t>
  </si>
  <si>
    <t>Plastique moyen (PE, PP, PS) - Fin de vie moyenne</t>
  </si>
  <si>
    <t>Déchets alimentaires - Compostage</t>
  </si>
  <si>
    <t>Garages - structure métallique</t>
  </si>
  <si>
    <t>Centre de loisir - structure en béton</t>
  </si>
  <si>
    <t>Parking classique - béton armé</t>
  </si>
  <si>
    <t>Parking classique - bitume</t>
  </si>
  <si>
    <t>Parking classique - semi-rigide</t>
  </si>
  <si>
    <t>Béton armé (matériau)</t>
  </si>
  <si>
    <t>kgCO2e/unité</t>
  </si>
  <si>
    <t>Ecran plat 22 pouces</t>
  </si>
  <si>
    <t>Ordinateur fixe (unité centrale seule)</t>
  </si>
  <si>
    <t>Ordinateur fixe (avec écran à tube cathodique)</t>
  </si>
  <si>
    <t>Ordinateur portable</t>
  </si>
  <si>
    <t>Ordinateur fixe (haute performance; unité centrale seule)</t>
  </si>
  <si>
    <t>Imprimante jet d'encre</t>
  </si>
  <si>
    <t>Imprimante laser</t>
  </si>
  <si>
    <t>Photocopieur (moyenne)</t>
  </si>
  <si>
    <t>Mobilier (moyenne; fabrication et distribution)</t>
  </si>
  <si>
    <t>Mix électrique allemand (année 2017)</t>
  </si>
  <si>
    <t>Mix électrique français (année 2024)</t>
  </si>
  <si>
    <t>Mix électrique français (année 2021)</t>
  </si>
  <si>
    <t>Mix électrique français (année 2017)</t>
  </si>
  <si>
    <t>Mix électrique européen (année 2017)</t>
  </si>
  <si>
    <t>Charge moyenne (kg fluide/unité)</t>
  </si>
  <si>
    <t>Conso moyenne
(kg fluide/m2)</t>
  </si>
  <si>
    <t>Boisson gazeuse aux fruits sucrée</t>
  </si>
  <si>
    <t>Cola sucré</t>
  </si>
  <si>
    <t>Café non sucré prêt à boire</t>
  </si>
  <si>
    <t>Bière (4-5° d'alcool)</t>
  </si>
  <si>
    <t>Eau du robinet</t>
  </si>
  <si>
    <t>Eau de source en bouteille</t>
  </si>
  <si>
    <t>Café en poudre</t>
  </si>
  <si>
    <t>Cacao en poudre</t>
  </si>
  <si>
    <t>Avion (voyageurs) - plus de 220 sièges, trajet de 2000 - 5000 km avec trainées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</si>
</sst>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 _€_-;\-* #,##0.00\ _€_-;_-* &quot;-&quot;??\ _€_-;_-@_-"/>
    <numFmt numFmtId="165" formatCode="#,##0.0"/>
    <numFmt numFmtId="166" formatCode="0.000"/>
    <numFmt numFmtId="167" formatCode="#,##0.00000"/>
    <numFmt numFmtId="168" formatCode="0.0"/>
    <numFmt numFmtId="169" formatCode="#,##0.000"/>
    <numFmt numFmtId="170" formatCode="0.00000"/>
    <numFmt numFmtId="171" formatCode="#,##0.0000"/>
    <numFmt numFmtId="172" formatCode="0%;\-0%;;"/>
    <numFmt numFmtId="173" formatCode="#,##0.000000"/>
    <numFmt numFmtId="174" formatCode="0.00.E+00"/>
    <numFmt numFmtId="175" formatCode="0.00E+00;\_x0000_"/>
    <numFmt numFmtId="176" formatCode="_-* #,##0.00\ [$€-40C]_-;\-* #,##0.00\ [$€-40C]_-;_-* &quot;-&quot;??\ [$€-40C]_-;_-@_-"/>
  </numFmts>
  <fonts count="75">
    <font>
      <sz val="9"/>
      <name val="Geneva"/>
    </font>
    <font>
      <sz val="11"/>
      <color indexed="8"/>
      <name val="Calibri"/>
      <family val="2"/>
    </font>
    <font>
      <b/>
      <sz val="9"/>
      <name val="Geneva"/>
    </font>
    <font>
      <i/>
      <sz val="9"/>
      <name val="Geneva"/>
    </font>
    <font>
      <sz val="9"/>
      <name val="Geneva"/>
    </font>
    <font>
      <sz val="9"/>
      <color indexed="10"/>
      <name val="Geneva"/>
    </font>
    <font>
      <sz val="9"/>
      <color indexed="8"/>
      <name val="Geneva"/>
    </font>
    <font>
      <b/>
      <sz val="12"/>
      <name val="Geneva"/>
    </font>
    <font>
      <b/>
      <sz val="9"/>
      <color indexed="8"/>
      <name val="Geneva"/>
    </font>
    <font>
      <sz val="10"/>
      <name val="Geneva"/>
    </font>
    <font>
      <b/>
      <sz val="9"/>
      <color indexed="16"/>
      <name val="Geneva"/>
    </font>
    <font>
      <sz val="9"/>
      <color indexed="12"/>
      <name val="Geneva"/>
    </font>
    <font>
      <b/>
      <sz val="9"/>
      <color indexed="12"/>
      <name val="Geneva"/>
    </font>
    <font>
      <u/>
      <sz val="9"/>
      <color indexed="12"/>
      <name val="Geneva"/>
    </font>
    <font>
      <sz val="10"/>
      <name val="Arial"/>
      <family val="2"/>
    </font>
    <font>
      <b/>
      <sz val="8"/>
      <color indexed="81"/>
      <name val="Tahoma"/>
      <family val="2"/>
    </font>
    <font>
      <sz val="8"/>
      <color indexed="81"/>
      <name val="Tahoma"/>
      <family val="2"/>
    </font>
    <font>
      <b/>
      <sz val="12"/>
      <color indexed="9"/>
      <name val="Geneva"/>
    </font>
    <font>
      <sz val="10"/>
      <color indexed="8"/>
      <name val="MS Sans Serif"/>
      <family val="2"/>
    </font>
    <font>
      <sz val="11"/>
      <color indexed="8"/>
      <name val="Calibri"/>
      <family val="2"/>
      <charset val="238"/>
    </font>
    <font>
      <sz val="11"/>
      <color indexed="9"/>
      <name val="Calibri"/>
      <family val="2"/>
      <charset val="238"/>
    </font>
    <font>
      <sz val="11"/>
      <color indexed="10"/>
      <name val="Calibri"/>
      <family val="2"/>
      <charset val="238"/>
    </font>
    <font>
      <b/>
      <sz val="11"/>
      <color indexed="52"/>
      <name val="Calibri"/>
      <family val="2"/>
      <charset val="238"/>
    </font>
    <font>
      <sz val="11"/>
      <color indexed="52"/>
      <name val="Calibri"/>
      <family val="2"/>
      <charset val="238"/>
    </font>
    <font>
      <sz val="11"/>
      <color indexed="62"/>
      <name val="Calibri"/>
      <family val="2"/>
      <charset val="238"/>
    </font>
    <font>
      <sz val="11"/>
      <color indexed="20"/>
      <name val="Calibri"/>
      <family val="2"/>
      <charset val="238"/>
    </font>
    <font>
      <sz val="11"/>
      <color indexed="60"/>
      <name val="Calibri"/>
      <family val="2"/>
      <charset val="238"/>
    </font>
    <font>
      <sz val="11"/>
      <color indexed="17"/>
      <name val="Calibri"/>
      <family val="2"/>
      <charset val="238"/>
    </font>
    <font>
      <b/>
      <sz val="11"/>
      <color indexed="63"/>
      <name val="Calibri"/>
      <family val="2"/>
      <charset val="238"/>
    </font>
    <font>
      <i/>
      <sz val="11"/>
      <color indexed="23"/>
      <name val="Calibri"/>
      <family val="2"/>
      <charset val="238"/>
    </font>
    <font>
      <b/>
      <sz val="18"/>
      <color indexed="56"/>
      <name val="Cambria"/>
      <family val="2"/>
      <charset val="238"/>
    </font>
    <font>
      <b/>
      <sz val="15"/>
      <color indexed="56"/>
      <name val="Calibri"/>
      <family val="2"/>
      <charset val="238"/>
    </font>
    <font>
      <b/>
      <sz val="13"/>
      <color indexed="56"/>
      <name val="Calibri"/>
      <family val="2"/>
      <charset val="238"/>
    </font>
    <font>
      <b/>
      <sz val="11"/>
      <color indexed="56"/>
      <name val="Calibri"/>
      <family val="2"/>
      <charset val="238"/>
    </font>
    <font>
      <b/>
      <sz val="11"/>
      <color indexed="8"/>
      <name val="Calibri"/>
      <family val="2"/>
      <charset val="238"/>
    </font>
    <font>
      <b/>
      <sz val="11"/>
      <color indexed="9"/>
      <name val="Calibri"/>
      <family val="2"/>
      <charset val="238"/>
    </font>
    <font>
      <sz val="8"/>
      <name val="Geneva"/>
    </font>
    <font>
      <b/>
      <sz val="9"/>
      <name val="Geneva"/>
      <family val="2"/>
    </font>
    <font>
      <sz val="18"/>
      <name val="Geneva"/>
    </font>
    <font>
      <b/>
      <sz val="18"/>
      <name val="Geneva"/>
    </font>
    <font>
      <sz val="9"/>
      <color indexed="9"/>
      <name val="Geneva"/>
    </font>
    <font>
      <b/>
      <u/>
      <sz val="9"/>
      <color indexed="12"/>
      <name val="Arial"/>
      <family val="2"/>
    </font>
    <font>
      <b/>
      <sz val="9"/>
      <name val="Arial"/>
      <family val="2"/>
    </font>
    <font>
      <b/>
      <sz val="9"/>
      <color indexed="9"/>
      <name val="Arial"/>
      <family val="2"/>
    </font>
    <font>
      <u/>
      <sz val="9"/>
      <color indexed="12"/>
      <name val="Arial"/>
      <family val="2"/>
    </font>
    <font>
      <sz val="9"/>
      <name val="Geneva"/>
    </font>
    <font>
      <b/>
      <sz val="9"/>
      <color indexed="9"/>
      <name val="Geneva"/>
    </font>
    <font>
      <sz val="9"/>
      <color indexed="81"/>
      <name val="Tahoma"/>
      <family val="2"/>
    </font>
    <font>
      <b/>
      <sz val="9"/>
      <color indexed="81"/>
      <name val="Tahoma"/>
      <family val="2"/>
    </font>
    <font>
      <b/>
      <sz val="16"/>
      <color theme="0"/>
      <name val="Arial"/>
      <family val="2"/>
    </font>
    <font>
      <b/>
      <sz val="12"/>
      <color theme="3"/>
      <name val="Arial"/>
      <family val="2"/>
    </font>
    <font>
      <sz val="10"/>
      <color theme="1"/>
      <name val="Arial"/>
      <family val="2"/>
    </font>
    <font>
      <b/>
      <sz val="10"/>
      <color theme="3"/>
      <name val="Arial"/>
      <family val="2"/>
    </font>
    <font>
      <sz val="9"/>
      <color rgb="FFFF0000"/>
      <name val="Geneva"/>
    </font>
    <font>
      <sz val="9"/>
      <color theme="0"/>
      <name val="Geneva"/>
    </font>
    <font>
      <u/>
      <sz val="9"/>
      <color theme="0"/>
      <name val="Geneva"/>
    </font>
    <font>
      <b/>
      <sz val="18"/>
      <color theme="0"/>
      <name val="Geneva"/>
    </font>
    <font>
      <sz val="18"/>
      <color theme="0"/>
      <name val="Geneva"/>
    </font>
    <font>
      <b/>
      <sz val="9"/>
      <color theme="0"/>
      <name val="Geneva"/>
    </font>
    <font>
      <b/>
      <sz val="9"/>
      <color theme="9" tint="-0.499984740745262"/>
      <name val="Geneva"/>
    </font>
    <font>
      <b/>
      <u/>
      <sz val="9"/>
      <color theme="0"/>
      <name val="Geneva"/>
    </font>
    <font>
      <b/>
      <sz val="9"/>
      <color theme="8" tint="-0.499984740745262"/>
      <name val="Geneva"/>
    </font>
    <font>
      <b/>
      <sz val="9"/>
      <color theme="7" tint="-0.499984740745262"/>
      <name val="Geneva"/>
    </font>
    <font>
      <b/>
      <sz val="9"/>
      <color theme="6" tint="-0.499984740745262"/>
      <name val="Geneva"/>
    </font>
    <font>
      <b/>
      <sz val="9"/>
      <color theme="5" tint="-0.499984740745262"/>
      <name val="Geneva"/>
    </font>
    <font>
      <b/>
      <sz val="9"/>
      <color theme="3" tint="-0.499984740745262"/>
      <name val="Geneva"/>
    </font>
    <font>
      <b/>
      <sz val="14"/>
      <color theme="0"/>
      <name val="Geneva"/>
    </font>
    <font>
      <sz val="9"/>
      <color theme="1"/>
      <name val="Geneva"/>
    </font>
    <font>
      <b/>
      <sz val="9"/>
      <color theme="1"/>
      <name val="Geneva"/>
    </font>
    <font>
      <b/>
      <sz val="10"/>
      <color theme="0"/>
      <name val="Geneva"/>
    </font>
    <font>
      <b/>
      <sz val="9"/>
      <color rgb="FFFF0000"/>
      <name val="Arimo"/>
    </font>
    <font>
      <b/>
      <sz val="9"/>
      <color rgb="FFFF0000"/>
      <name val="Geneva"/>
    </font>
    <font>
      <sz val="9"/>
      <color rgb="FF000000"/>
      <name val="Arimo"/>
    </font>
    <font>
      <sz val="9"/>
      <color theme="1"/>
      <name val="Arimo"/>
    </font>
    <font>
      <sz val="10"/>
      <name val="Calibri"/>
      <family val="2"/>
    </font>
  </fonts>
  <fills count="63">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55"/>
      </patternFill>
    </fill>
    <fill>
      <patternFill patternType="solid">
        <fgColor indexed="9"/>
        <bgColor indexed="64"/>
      </patternFill>
    </fill>
    <fill>
      <patternFill patternType="solid">
        <fgColor indexed="41"/>
        <bgColor indexed="64"/>
      </patternFill>
    </fill>
    <fill>
      <patternFill patternType="solid">
        <fgColor theme="0"/>
        <bgColor indexed="64"/>
      </patternFill>
    </fill>
    <fill>
      <patternFill patternType="solid">
        <fgColor rgb="FFFFECC5"/>
        <bgColor indexed="64"/>
      </patternFill>
    </fill>
    <fill>
      <patternFill patternType="solid">
        <fgColor theme="4" tint="0.79998168889431442"/>
        <bgColor indexed="64"/>
      </patternFill>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3" tint="-0.499984740745262"/>
        <bgColor indexed="64"/>
      </patternFill>
    </fill>
    <fill>
      <patternFill patternType="solid">
        <fgColor theme="3" tint="-0.249977111117893"/>
        <bgColor indexed="64"/>
      </patternFill>
    </fill>
    <fill>
      <patternFill patternType="solid">
        <fgColor theme="3" tint="0.39997558519241921"/>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5"/>
        <bgColor indexed="64"/>
      </patternFill>
    </fill>
    <fill>
      <patternFill patternType="solid">
        <fgColor theme="6" tint="-0.499984740745262"/>
        <bgColor indexed="64"/>
      </patternFill>
    </fill>
    <fill>
      <patternFill patternType="solid">
        <fgColor theme="6" tint="-0.249977111117893"/>
        <bgColor indexed="64"/>
      </patternFill>
    </fill>
    <fill>
      <patternFill patternType="solid">
        <fgColor theme="6"/>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rgb="FFF6AB38"/>
        <bgColor indexed="64"/>
      </patternFill>
    </fill>
    <fill>
      <patternFill patternType="solid">
        <fgColor theme="3" tint="0.79998168889431442"/>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8" tint="-0.249977111117893"/>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FFECC5"/>
        <bgColor rgb="FFFFECC5"/>
      </patternFill>
    </fill>
    <fill>
      <patternFill patternType="solid">
        <fgColor rgb="FFFFFF00"/>
        <bgColor rgb="FFFFFFFF"/>
      </patternFill>
    </fill>
  </fills>
  <borders count="57">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hair">
        <color theme="1" tint="0.499984740745262"/>
      </left>
      <right/>
      <top style="hair">
        <color theme="1" tint="0.499984740745262"/>
      </top>
      <bottom/>
      <diagonal/>
    </border>
    <border>
      <left/>
      <right/>
      <top style="hair">
        <color theme="1" tint="0.499984740745262"/>
      </top>
      <bottom/>
      <diagonal/>
    </border>
    <border>
      <left/>
      <right style="hair">
        <color theme="1" tint="0.499984740745262"/>
      </right>
      <top style="hair">
        <color theme="1" tint="0.499984740745262"/>
      </top>
      <bottom/>
      <diagonal/>
    </border>
    <border>
      <left style="hair">
        <color theme="1" tint="0.499984740745262"/>
      </left>
      <right/>
      <top/>
      <bottom/>
      <diagonal/>
    </border>
    <border>
      <left/>
      <right style="hair">
        <color theme="1" tint="0.499984740745262"/>
      </right>
      <top/>
      <bottom/>
      <diagonal/>
    </border>
    <border>
      <left style="hair">
        <color theme="1" tint="0.499984740745262"/>
      </left>
      <right/>
      <top/>
      <bottom style="hair">
        <color theme="1" tint="0.499984740745262"/>
      </bottom>
      <diagonal/>
    </border>
    <border>
      <left/>
      <right/>
      <top/>
      <bottom style="hair">
        <color theme="1" tint="0.499984740745262"/>
      </bottom>
      <diagonal/>
    </border>
    <border>
      <left/>
      <right style="hair">
        <color theme="1" tint="0.499984740745262"/>
      </right>
      <top/>
      <bottom style="hair">
        <color theme="1" tint="0.499984740745262"/>
      </bottom>
      <diagonal/>
    </border>
    <border>
      <left style="hair">
        <color indexed="64"/>
      </left>
      <right/>
      <top/>
      <bottom/>
      <diagonal/>
    </border>
    <border>
      <left/>
      <right style="hair">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s>
  <cellStyleXfs count="59">
    <xf numFmtId="0" fontId="0" fillId="0" borderId="0"/>
    <xf numFmtId="0" fontId="19" fillId="2" borderId="0" applyNumberFormat="0" applyBorder="0" applyAlignment="0" applyProtection="0"/>
    <xf numFmtId="0" fontId="1" fillId="2" borderId="0" applyNumberFormat="0" applyBorder="0" applyAlignment="0" applyProtection="0"/>
    <xf numFmtId="0" fontId="19" fillId="3" borderId="0" applyNumberFormat="0" applyBorder="0" applyAlignment="0" applyProtection="0"/>
    <xf numFmtId="0" fontId="1" fillId="3" borderId="0" applyNumberFormat="0" applyBorder="0" applyAlignment="0" applyProtection="0"/>
    <xf numFmtId="0" fontId="19" fillId="4" borderId="0" applyNumberFormat="0" applyBorder="0" applyAlignment="0" applyProtection="0"/>
    <xf numFmtId="0" fontId="1" fillId="4" borderId="0" applyNumberFormat="0" applyBorder="0" applyAlignment="0" applyProtection="0"/>
    <xf numFmtId="0" fontId="19" fillId="5" borderId="0" applyNumberFormat="0" applyBorder="0" applyAlignment="0" applyProtection="0"/>
    <xf numFmtId="0" fontId="1" fillId="5" borderId="0" applyNumberFormat="0" applyBorder="0" applyAlignment="0" applyProtection="0"/>
    <xf numFmtId="0" fontId="19" fillId="6" borderId="0" applyNumberFormat="0" applyBorder="0" applyAlignment="0" applyProtection="0"/>
    <xf numFmtId="0" fontId="1" fillId="6" borderId="0" applyNumberFormat="0" applyBorder="0" applyAlignment="0" applyProtection="0"/>
    <xf numFmtId="0" fontId="19" fillId="7" borderId="0" applyNumberFormat="0" applyBorder="0" applyAlignment="0" applyProtection="0"/>
    <xf numFmtId="0" fontId="1" fillId="7" borderId="0" applyNumberFormat="0" applyBorder="0" applyAlignment="0" applyProtection="0"/>
    <xf numFmtId="0" fontId="19" fillId="8" borderId="0" applyNumberFormat="0" applyBorder="0" applyAlignment="0" applyProtection="0"/>
    <xf numFmtId="0" fontId="1" fillId="8" borderId="0" applyNumberFormat="0" applyBorder="0" applyAlignment="0" applyProtection="0"/>
    <xf numFmtId="0" fontId="19" fillId="9" borderId="0" applyNumberFormat="0" applyBorder="0" applyAlignment="0" applyProtection="0"/>
    <xf numFmtId="0" fontId="1" fillId="9" borderId="0" applyNumberFormat="0" applyBorder="0" applyAlignment="0" applyProtection="0"/>
    <xf numFmtId="0" fontId="19" fillId="10" borderId="0" applyNumberFormat="0" applyBorder="0" applyAlignment="0" applyProtection="0"/>
    <xf numFmtId="0" fontId="1" fillId="10" borderId="0" applyNumberFormat="0" applyBorder="0" applyAlignment="0" applyProtection="0"/>
    <xf numFmtId="0" fontId="19" fillId="5" borderId="0" applyNumberFormat="0" applyBorder="0" applyAlignment="0" applyProtection="0"/>
    <xf numFmtId="0" fontId="1" fillId="5" borderId="0" applyNumberFormat="0" applyBorder="0" applyAlignment="0" applyProtection="0"/>
    <xf numFmtId="0" fontId="19" fillId="8" borderId="0" applyNumberFormat="0" applyBorder="0" applyAlignment="0" applyProtection="0"/>
    <xf numFmtId="0" fontId="1" fillId="8" borderId="0" applyNumberFormat="0" applyBorder="0" applyAlignment="0" applyProtection="0"/>
    <xf numFmtId="0" fontId="19" fillId="11" borderId="0" applyNumberFormat="0" applyBorder="0" applyAlignment="0" applyProtection="0"/>
    <xf numFmtId="0" fontId="1" fillId="11" borderId="0" applyNumberFormat="0" applyBorder="0" applyAlignment="0" applyProtection="0"/>
    <xf numFmtId="0" fontId="20" fillId="12"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3" borderId="0" applyNumberFormat="0" applyBorder="0" applyAlignment="0" applyProtection="0"/>
    <xf numFmtId="0" fontId="20" fillId="14" borderId="0" applyNumberFormat="0" applyBorder="0" applyAlignment="0" applyProtection="0"/>
    <xf numFmtId="0" fontId="20" fillId="19" borderId="0" applyNumberFormat="0" applyBorder="0" applyAlignment="0" applyProtection="0"/>
    <xf numFmtId="0" fontId="21" fillId="0" borderId="0" applyNumberFormat="0" applyFill="0" applyBorder="0" applyAlignment="0" applyProtection="0"/>
    <xf numFmtId="0" fontId="22" fillId="20" borderId="1" applyNumberFormat="0" applyAlignment="0" applyProtection="0"/>
    <xf numFmtId="0" fontId="23" fillId="0" borderId="2" applyNumberFormat="0" applyFill="0" applyAlignment="0" applyProtection="0"/>
    <xf numFmtId="0" fontId="24" fillId="7" borderId="1" applyNumberFormat="0" applyAlignment="0" applyProtection="0"/>
    <xf numFmtId="0" fontId="25" fillId="3" borderId="0" applyNumberFormat="0" applyBorder="0" applyAlignment="0" applyProtection="0"/>
    <xf numFmtId="0" fontId="13" fillId="0" borderId="0" applyNumberFormat="0" applyFill="0" applyBorder="0" applyAlignment="0" applyProtection="0">
      <alignment vertical="top"/>
      <protection locked="0"/>
    </xf>
    <xf numFmtId="0" fontId="26" fillId="21" borderId="0" applyNumberFormat="0" applyBorder="0" applyAlignment="0" applyProtection="0"/>
    <xf numFmtId="0" fontId="4" fillId="0" borderId="0"/>
    <xf numFmtId="0" fontId="18" fillId="0" borderId="0"/>
    <xf numFmtId="0" fontId="14" fillId="0" borderId="0"/>
    <xf numFmtId="9" fontId="4" fillId="0" borderId="0" applyFont="0" applyFill="0" applyBorder="0" applyAlignment="0" applyProtection="0"/>
    <xf numFmtId="0" fontId="27" fillId="4" borderId="0" applyNumberFormat="0" applyBorder="0" applyAlignment="0" applyProtection="0"/>
    <xf numFmtId="0" fontId="28" fillId="20" borderId="3"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4" applyNumberFormat="0" applyFill="0" applyAlignment="0" applyProtection="0"/>
    <xf numFmtId="0" fontId="32" fillId="0" borderId="5" applyNumberFormat="0" applyFill="0" applyAlignment="0" applyProtection="0"/>
    <xf numFmtId="0" fontId="33" fillId="0" borderId="6" applyNumberFormat="0" applyFill="0" applyAlignment="0" applyProtection="0"/>
    <xf numFmtId="0" fontId="33" fillId="0" borderId="0" applyNumberFormat="0" applyFill="0" applyBorder="0" applyAlignment="0" applyProtection="0"/>
    <xf numFmtId="0" fontId="34" fillId="0" borderId="7" applyNumberFormat="0" applyFill="0" applyAlignment="0" applyProtection="0"/>
    <xf numFmtId="0" fontId="35" fillId="22" borderId="8" applyNumberFormat="0" applyAlignment="0" applyProtection="0"/>
    <xf numFmtId="0" fontId="72" fillId="0" borderId="0"/>
  </cellStyleXfs>
  <cellXfs count="681">
    <xf numFmtId="0" fontId="0" fillId="0" borderId="0" xfId="0"/>
    <xf numFmtId="0" fontId="0" fillId="0" borderId="9" xfId="0" applyBorder="1"/>
    <xf numFmtId="0" fontId="0" fillId="23" borderId="9" xfId="0" applyFill="1" applyBorder="1" applyAlignment="1">
      <alignment horizontal="center"/>
    </xf>
    <xf numFmtId="3" fontId="0" fillId="23" borderId="9" xfId="0" applyNumberFormat="1" applyFill="1" applyBorder="1"/>
    <xf numFmtId="165" fontId="0" fillId="23" borderId="9" xfId="0" applyNumberFormat="1" applyFill="1" applyBorder="1"/>
    <xf numFmtId="3" fontId="0" fillId="0" borderId="10" xfId="0" applyNumberFormat="1" applyBorder="1"/>
    <xf numFmtId="3" fontId="0" fillId="24" borderId="9" xfId="0" applyNumberFormat="1" applyFill="1" applyBorder="1"/>
    <xf numFmtId="0" fontId="0" fillId="23" borderId="0" xfId="0" applyFill="1"/>
    <xf numFmtId="0" fontId="13" fillId="23" borderId="0" xfId="42" applyFill="1" applyBorder="1" applyAlignment="1" applyProtection="1">
      <alignment horizontal="center" wrapText="1"/>
    </xf>
    <xf numFmtId="0" fontId="0" fillId="23" borderId="0" xfId="0" applyFill="1" applyAlignment="1">
      <alignment horizontal="center"/>
    </xf>
    <xf numFmtId="3" fontId="5" fillId="23" borderId="0" xfId="0" applyNumberFormat="1" applyFont="1" applyFill="1"/>
    <xf numFmtId="3" fontId="0" fillId="23" borderId="0" xfId="0" applyNumberFormat="1" applyFill="1"/>
    <xf numFmtId="0" fontId="2" fillId="23" borderId="0" xfId="0" applyFont="1" applyFill="1"/>
    <xf numFmtId="0" fontId="2" fillId="23" borderId="0" xfId="0" applyFont="1" applyFill="1" applyAlignment="1">
      <alignment horizontal="center"/>
    </xf>
    <xf numFmtId="0" fontId="0" fillId="23" borderId="9" xfId="0" applyFill="1" applyBorder="1"/>
    <xf numFmtId="3" fontId="37" fillId="23" borderId="0" xfId="0" applyNumberFormat="1" applyFont="1" applyFill="1"/>
    <xf numFmtId="0" fontId="39" fillId="23" borderId="0" xfId="0" applyFont="1" applyFill="1"/>
    <xf numFmtId="0" fontId="2" fillId="23" borderId="9" xfId="0" applyFont="1" applyFill="1" applyBorder="1" applyAlignment="1">
      <alignment horizontal="center"/>
    </xf>
    <xf numFmtId="0" fontId="0" fillId="23" borderId="0" xfId="0" applyFill="1" applyAlignment="1">
      <alignment horizontal="center" wrapText="1"/>
    </xf>
    <xf numFmtId="3" fontId="0" fillId="23" borderId="9" xfId="0" applyNumberFormat="1" applyFill="1" applyBorder="1" applyAlignment="1">
      <alignment horizontal="right"/>
    </xf>
    <xf numFmtId="0" fontId="7" fillId="23" borderId="0" xfId="0" applyFont="1" applyFill="1" applyAlignment="1">
      <alignment horizontal="center"/>
    </xf>
    <xf numFmtId="3" fontId="0" fillId="0" borderId="9" xfId="0" applyNumberFormat="1" applyBorder="1"/>
    <xf numFmtId="0" fontId="40" fillId="23" borderId="0" xfId="0" applyFont="1" applyFill="1"/>
    <xf numFmtId="0" fontId="38" fillId="23" borderId="0" xfId="0" applyFont="1" applyFill="1"/>
    <xf numFmtId="0" fontId="40" fillId="23" borderId="0" xfId="0" applyFont="1" applyFill="1" applyAlignment="1">
      <alignment horizontal="center" wrapText="1"/>
    </xf>
    <xf numFmtId="0" fontId="17" fillId="23" borderId="0" xfId="0" applyFont="1" applyFill="1" applyAlignment="1">
      <alignment horizontal="center"/>
    </xf>
    <xf numFmtId="0" fontId="40" fillId="23" borderId="0" xfId="0" applyFont="1" applyFill="1" applyAlignment="1">
      <alignment horizontal="center"/>
    </xf>
    <xf numFmtId="0" fontId="40" fillId="23" borderId="0" xfId="0" applyFont="1" applyFill="1" applyAlignment="1">
      <alignment horizontal="left"/>
    </xf>
    <xf numFmtId="0" fontId="40" fillId="23" borderId="0" xfId="0" applyFont="1" applyFill="1" applyAlignment="1">
      <alignment horizontal="right"/>
    </xf>
    <xf numFmtId="3" fontId="40" fillId="23" borderId="0" xfId="0" applyNumberFormat="1" applyFont="1" applyFill="1"/>
    <xf numFmtId="4" fontId="40" fillId="23" borderId="0" xfId="0" applyNumberFormat="1" applyFont="1" applyFill="1"/>
    <xf numFmtId="11" fontId="40" fillId="23" borderId="0" xfId="0" applyNumberFormat="1" applyFont="1" applyFill="1"/>
    <xf numFmtId="169" fontId="40" fillId="23" borderId="0" xfId="0" applyNumberFormat="1" applyFont="1" applyFill="1"/>
    <xf numFmtId="174" fontId="40" fillId="23" borderId="0" xfId="0" applyNumberFormat="1" applyFont="1" applyFill="1"/>
    <xf numFmtId="175" fontId="40" fillId="23" borderId="0" xfId="0" applyNumberFormat="1" applyFont="1" applyFill="1"/>
    <xf numFmtId="173" fontId="40" fillId="23" borderId="0" xfId="0" applyNumberFormat="1" applyFont="1" applyFill="1"/>
    <xf numFmtId="167" fontId="40" fillId="23" borderId="0" xfId="0" applyNumberFormat="1" applyFont="1" applyFill="1"/>
    <xf numFmtId="170" fontId="40" fillId="23" borderId="0" xfId="0" applyNumberFormat="1" applyFont="1" applyFill="1"/>
    <xf numFmtId="165" fontId="40" fillId="23" borderId="0" xfId="0" applyNumberFormat="1" applyFont="1" applyFill="1"/>
    <xf numFmtId="166" fontId="40" fillId="23" borderId="0" xfId="0" applyNumberFormat="1" applyFont="1" applyFill="1"/>
    <xf numFmtId="0" fontId="4" fillId="23" borderId="9" xfId="0" applyFont="1" applyFill="1" applyBorder="1" applyAlignment="1">
      <alignment horizontal="center"/>
    </xf>
    <xf numFmtId="0" fontId="0" fillId="23" borderId="9" xfId="0" applyFill="1" applyBorder="1" applyAlignment="1">
      <alignment horizontal="left"/>
    </xf>
    <xf numFmtId="0" fontId="2" fillId="23" borderId="0" xfId="0" applyFont="1" applyFill="1" applyAlignment="1">
      <alignment horizontal="left"/>
    </xf>
    <xf numFmtId="0" fontId="4" fillId="23" borderId="9" xfId="0" applyFont="1" applyFill="1" applyBorder="1"/>
    <xf numFmtId="0" fontId="39" fillId="23" borderId="0" xfId="0" applyFont="1" applyFill="1" applyAlignment="1">
      <alignment horizontal="center"/>
    </xf>
    <xf numFmtId="0" fontId="13" fillId="23" borderId="0" xfId="42" applyFill="1" applyBorder="1" applyAlignment="1" applyProtection="1">
      <alignment horizontal="center" vertical="center" wrapText="1"/>
    </xf>
    <xf numFmtId="0" fontId="41" fillId="23" borderId="0" xfId="42" applyFont="1" applyFill="1" applyBorder="1" applyAlignment="1" applyProtection="1">
      <alignment horizontal="center" vertical="center" wrapText="1"/>
    </xf>
    <xf numFmtId="0" fontId="42" fillId="23" borderId="0" xfId="0" applyFont="1" applyFill="1" applyAlignment="1">
      <alignment horizontal="center" vertical="center" wrapText="1"/>
    </xf>
    <xf numFmtId="0" fontId="43" fillId="23" borderId="0" xfId="0" applyFont="1" applyFill="1" applyAlignment="1">
      <alignment horizontal="center" vertical="center" wrapText="1"/>
    </xf>
    <xf numFmtId="3" fontId="2" fillId="0" borderId="9" xfId="0" applyNumberFormat="1" applyFont="1" applyBorder="1"/>
    <xf numFmtId="0" fontId="44" fillId="23" borderId="0" xfId="42" applyFont="1" applyFill="1" applyBorder="1" applyAlignment="1" applyProtection="1">
      <alignment horizontal="center" vertical="center" wrapText="1"/>
    </xf>
    <xf numFmtId="3" fontId="2" fillId="23" borderId="9" xfId="0" applyNumberFormat="1" applyFont="1" applyFill="1" applyBorder="1"/>
    <xf numFmtId="0" fontId="2" fillId="23" borderId="17" xfId="0" applyFont="1" applyFill="1" applyBorder="1"/>
    <xf numFmtId="0" fontId="0" fillId="23" borderId="19" xfId="0" applyFill="1" applyBorder="1"/>
    <xf numFmtId="3" fontId="2" fillId="23" borderId="20" xfId="0" applyNumberFormat="1" applyFont="1" applyFill="1" applyBorder="1"/>
    <xf numFmtId="0" fontId="0" fillId="23" borderId="17" xfId="0" applyFill="1" applyBorder="1"/>
    <xf numFmtId="3" fontId="2" fillId="0" borderId="20" xfId="0" applyNumberFormat="1" applyFont="1" applyBorder="1"/>
    <xf numFmtId="0" fontId="2" fillId="23" borderId="19" xfId="0" applyFont="1" applyFill="1" applyBorder="1"/>
    <xf numFmtId="3" fontId="2" fillId="23" borderId="21" xfId="0" applyNumberFormat="1" applyFont="1" applyFill="1" applyBorder="1"/>
    <xf numFmtId="0" fontId="2" fillId="23" borderId="20" xfId="0" applyFont="1" applyFill="1" applyBorder="1" applyAlignment="1">
      <alignment horizontal="center"/>
    </xf>
    <xf numFmtId="0" fontId="2" fillId="23" borderId="0" xfId="0" applyFont="1" applyFill="1" applyAlignment="1">
      <alignment vertical="center"/>
    </xf>
    <xf numFmtId="0" fontId="2" fillId="23" borderId="24" xfId="0" applyFont="1" applyFill="1" applyBorder="1"/>
    <xf numFmtId="0" fontId="2" fillId="23" borderId="24" xfId="0" applyFont="1" applyFill="1" applyBorder="1" applyAlignment="1">
      <alignment horizontal="left"/>
    </xf>
    <xf numFmtId="3" fontId="2" fillId="23" borderId="0" xfId="0" applyNumberFormat="1" applyFont="1" applyFill="1"/>
    <xf numFmtId="0" fontId="4" fillId="23" borderId="0" xfId="0" applyFont="1" applyFill="1"/>
    <xf numFmtId="0" fontId="45" fillId="23" borderId="0" xfId="0" applyFont="1" applyFill="1"/>
    <xf numFmtId="0" fontId="45" fillId="23" borderId="0" xfId="0" applyFont="1" applyFill="1" applyAlignment="1">
      <alignment horizontal="center"/>
    </xf>
    <xf numFmtId="0" fontId="45" fillId="23" borderId="17" xfId="0" applyFont="1" applyFill="1" applyBorder="1"/>
    <xf numFmtId="3" fontId="45" fillId="23" borderId="20" xfId="0" applyNumberFormat="1" applyFont="1" applyFill="1" applyBorder="1"/>
    <xf numFmtId="3" fontId="45" fillId="23" borderId="9" xfId="0" applyNumberFormat="1" applyFont="1" applyFill="1" applyBorder="1"/>
    <xf numFmtId="1" fontId="45" fillId="23" borderId="9" xfId="0" applyNumberFormat="1" applyFont="1" applyFill="1" applyBorder="1"/>
    <xf numFmtId="9" fontId="4" fillId="23" borderId="9" xfId="0" applyNumberFormat="1" applyFont="1" applyFill="1" applyBorder="1"/>
    <xf numFmtId="3" fontId="45" fillId="23" borderId="9" xfId="47" applyNumberFormat="1" applyFont="1" applyFill="1" applyBorder="1"/>
    <xf numFmtId="0" fontId="45" fillId="23" borderId="22" xfId="0" applyFont="1" applyFill="1" applyBorder="1"/>
    <xf numFmtId="3" fontId="45" fillId="23" borderId="23" xfId="0" applyNumberFormat="1" applyFont="1" applyFill="1" applyBorder="1"/>
    <xf numFmtId="9" fontId="2" fillId="23" borderId="9" xfId="47" applyFont="1" applyFill="1" applyBorder="1"/>
    <xf numFmtId="9" fontId="2" fillId="23" borderId="0" xfId="47" applyFont="1" applyFill="1" applyBorder="1"/>
    <xf numFmtId="9" fontId="2" fillId="23" borderId="9" xfId="0" applyNumberFormat="1" applyFont="1" applyFill="1" applyBorder="1"/>
    <xf numFmtId="3" fontId="2" fillId="23" borderId="9" xfId="47" applyNumberFormat="1" applyFont="1" applyFill="1" applyBorder="1"/>
    <xf numFmtId="0" fontId="9" fillId="23" borderId="0" xfId="0" applyFont="1" applyFill="1"/>
    <xf numFmtId="0" fontId="10" fillId="23" borderId="0" xfId="0" applyFont="1" applyFill="1"/>
    <xf numFmtId="0" fontId="2" fillId="23" borderId="10" xfId="0" applyFont="1" applyFill="1" applyBorder="1"/>
    <xf numFmtId="9" fontId="6" fillId="23" borderId="0" xfId="0" applyNumberFormat="1" applyFont="1" applyFill="1"/>
    <xf numFmtId="3" fontId="0" fillId="23" borderId="10" xfId="0" applyNumberFormat="1" applyFill="1" applyBorder="1"/>
    <xf numFmtId="3" fontId="2" fillId="23" borderId="17" xfId="0" applyNumberFormat="1" applyFont="1" applyFill="1" applyBorder="1"/>
    <xf numFmtId="3" fontId="4" fillId="23" borderId="9" xfId="0" applyNumberFormat="1" applyFont="1" applyFill="1" applyBorder="1"/>
    <xf numFmtId="0" fontId="4" fillId="23" borderId="17" xfId="0" applyFont="1" applyFill="1" applyBorder="1"/>
    <xf numFmtId="3" fontId="4" fillId="23" borderId="0" xfId="0" applyNumberFormat="1" applyFont="1" applyFill="1"/>
    <xf numFmtId="0" fontId="4" fillId="23" borderId="0" xfId="0" applyFont="1" applyFill="1" applyAlignment="1">
      <alignment horizontal="center"/>
    </xf>
    <xf numFmtId="3" fontId="4" fillId="23" borderId="20" xfId="0" applyNumberFormat="1" applyFont="1" applyFill="1" applyBorder="1"/>
    <xf numFmtId="9" fontId="4" fillId="23" borderId="9" xfId="47" applyFont="1" applyFill="1" applyBorder="1"/>
    <xf numFmtId="9" fontId="4" fillId="23" borderId="0" xfId="47" applyFont="1" applyFill="1" applyBorder="1"/>
    <xf numFmtId="3" fontId="4" fillId="23" borderId="9" xfId="47" applyNumberFormat="1" applyFont="1" applyFill="1" applyBorder="1"/>
    <xf numFmtId="9" fontId="4" fillId="23" borderId="0" xfId="47" applyFont="1" applyFill="1"/>
    <xf numFmtId="165" fontId="0" fillId="23" borderId="0" xfId="0" applyNumberFormat="1" applyFill="1"/>
    <xf numFmtId="0" fontId="11" fillId="23" borderId="0" xfId="0" applyFont="1" applyFill="1"/>
    <xf numFmtId="0" fontId="12" fillId="23" borderId="0" xfId="0" applyFont="1" applyFill="1"/>
    <xf numFmtId="166" fontId="2" fillId="23" borderId="0" xfId="46" applyNumberFormat="1" applyFont="1" applyFill="1"/>
    <xf numFmtId="166" fontId="4" fillId="23" borderId="0" xfId="46" applyNumberFormat="1" applyFont="1" applyFill="1"/>
    <xf numFmtId="166" fontId="2" fillId="23" borderId="27" xfId="46" applyNumberFormat="1" applyFont="1" applyFill="1" applyBorder="1"/>
    <xf numFmtId="1" fontId="4" fillId="23" borderId="0" xfId="46" applyNumberFormat="1" applyFont="1" applyFill="1"/>
    <xf numFmtId="1" fontId="2" fillId="23" borderId="0" xfId="46" applyNumberFormat="1" applyFont="1" applyFill="1"/>
    <xf numFmtId="3" fontId="6" fillId="23" borderId="9" xfId="46" applyNumberFormat="1" applyFont="1" applyFill="1" applyBorder="1"/>
    <xf numFmtId="3" fontId="8" fillId="23" borderId="9" xfId="46" applyNumberFormat="1" applyFont="1" applyFill="1" applyBorder="1"/>
    <xf numFmtId="0" fontId="6" fillId="23" borderId="0" xfId="46" applyFont="1" applyFill="1"/>
    <xf numFmtId="3" fontId="8" fillId="23" borderId="0" xfId="46" applyNumberFormat="1" applyFont="1" applyFill="1"/>
    <xf numFmtId="0" fontId="4" fillId="23" borderId="0" xfId="46" applyFont="1" applyFill="1"/>
    <xf numFmtId="0" fontId="8" fillId="23" borderId="0" xfId="46" applyFont="1" applyFill="1"/>
    <xf numFmtId="0" fontId="0" fillId="23" borderId="20" xfId="0" applyFill="1" applyBorder="1"/>
    <xf numFmtId="0" fontId="2" fillId="23" borderId="0" xfId="46" applyFont="1" applyFill="1"/>
    <xf numFmtId="0" fontId="6" fillId="23" borderId="9" xfId="45" applyFont="1" applyFill="1" applyBorder="1" applyAlignment="1">
      <alignment horizontal="left"/>
    </xf>
    <xf numFmtId="3" fontId="45" fillId="23" borderId="0" xfId="0" applyNumberFormat="1" applyFont="1" applyFill="1"/>
    <xf numFmtId="9" fontId="45" fillId="23" borderId="9" xfId="47" applyFont="1" applyFill="1" applyBorder="1"/>
    <xf numFmtId="9" fontId="45" fillId="23" borderId="0" xfId="47" applyFont="1" applyFill="1" applyBorder="1"/>
    <xf numFmtId="9" fontId="0" fillId="23" borderId="0" xfId="0" applyNumberFormat="1" applyFill="1"/>
    <xf numFmtId="172" fontId="45" fillId="23" borderId="0" xfId="47" applyNumberFormat="1" applyFont="1" applyFill="1" applyBorder="1"/>
    <xf numFmtId="172" fontId="4" fillId="23" borderId="0" xfId="47" applyNumberFormat="1" applyFont="1" applyFill="1" applyBorder="1"/>
    <xf numFmtId="3" fontId="45" fillId="23" borderId="9" xfId="0" applyNumberFormat="1" applyFont="1" applyFill="1" applyBorder="1" applyAlignment="1">
      <alignment horizontal="right"/>
    </xf>
    <xf numFmtId="9" fontId="45" fillId="23" borderId="9" xfId="0" applyNumberFormat="1" applyFont="1" applyFill="1" applyBorder="1"/>
    <xf numFmtId="0" fontId="3" fillId="23" borderId="0" xfId="0" applyFont="1" applyFill="1" applyAlignment="1">
      <alignment horizontal="center"/>
    </xf>
    <xf numFmtId="9" fontId="45" fillId="23" borderId="0" xfId="47" applyFont="1" applyFill="1"/>
    <xf numFmtId="0" fontId="46" fillId="23" borderId="17" xfId="0" applyFont="1" applyFill="1" applyBorder="1"/>
    <xf numFmtId="0" fontId="2" fillId="23" borderId="17" xfId="0" applyFont="1" applyFill="1" applyBorder="1" applyAlignment="1">
      <alignment wrapText="1"/>
    </xf>
    <xf numFmtId="0" fontId="2" fillId="23" borderId="25" xfId="0" applyFont="1" applyFill="1" applyBorder="1" applyAlignment="1">
      <alignment wrapText="1"/>
    </xf>
    <xf numFmtId="3" fontId="2" fillId="23" borderId="20" xfId="0" applyNumberFormat="1" applyFont="1" applyFill="1" applyBorder="1" applyAlignment="1">
      <alignment wrapText="1"/>
    </xf>
    <xf numFmtId="3" fontId="2" fillId="23" borderId="9" xfId="0" applyNumberFormat="1" applyFont="1" applyFill="1" applyBorder="1" applyAlignment="1">
      <alignment wrapText="1"/>
    </xf>
    <xf numFmtId="0" fontId="2" fillId="23" borderId="22" xfId="0" applyFont="1" applyFill="1" applyBorder="1" applyAlignment="1">
      <alignment wrapText="1"/>
    </xf>
    <xf numFmtId="0" fontId="2" fillId="23" borderId="26" xfId="0" applyFont="1" applyFill="1" applyBorder="1" applyAlignment="1">
      <alignment wrapText="1"/>
    </xf>
    <xf numFmtId="3" fontId="2" fillId="23" borderId="23" xfId="0" applyNumberFormat="1" applyFont="1" applyFill="1" applyBorder="1" applyAlignment="1">
      <alignment wrapText="1"/>
    </xf>
    <xf numFmtId="0" fontId="2" fillId="23" borderId="24" xfId="0" applyFont="1" applyFill="1" applyBorder="1" applyAlignment="1">
      <alignment wrapText="1"/>
    </xf>
    <xf numFmtId="3" fontId="37" fillId="23" borderId="0" xfId="0" applyNumberFormat="1" applyFont="1" applyFill="1" applyAlignment="1">
      <alignment horizontal="center"/>
    </xf>
    <xf numFmtId="3" fontId="0" fillId="23" borderId="0" xfId="0" applyNumberFormat="1" applyFill="1" applyAlignment="1">
      <alignment horizontal="center"/>
    </xf>
    <xf numFmtId="0" fontId="0" fillId="23" borderId="0" xfId="0" applyFill="1" applyAlignment="1">
      <alignment horizontal="left"/>
    </xf>
    <xf numFmtId="3" fontId="13" fillId="23" borderId="0" xfId="42" applyNumberFormat="1" applyFill="1" applyBorder="1" applyAlignment="1" applyProtection="1">
      <alignment horizontal="center" vertical="center" wrapText="1"/>
    </xf>
    <xf numFmtId="3" fontId="44" fillId="23" borderId="0" xfId="42" applyNumberFormat="1" applyFont="1" applyFill="1" applyBorder="1" applyAlignment="1" applyProtection="1">
      <alignment horizontal="center" vertical="center" wrapText="1"/>
    </xf>
    <xf numFmtId="3" fontId="2" fillId="23" borderId="0" xfId="0" applyNumberFormat="1" applyFont="1" applyFill="1" applyAlignment="1">
      <alignment horizontal="center"/>
    </xf>
    <xf numFmtId="3" fontId="10" fillId="23" borderId="0" xfId="0" applyNumberFormat="1" applyFont="1" applyFill="1"/>
    <xf numFmtId="3" fontId="4" fillId="23" borderId="0" xfId="47" applyNumberFormat="1" applyFont="1" applyFill="1"/>
    <xf numFmtId="3" fontId="2" fillId="23" borderId="0" xfId="46" applyNumberFormat="1" applyFont="1" applyFill="1"/>
    <xf numFmtId="3" fontId="4" fillId="23" borderId="0" xfId="46" applyNumberFormat="1" applyFont="1" applyFill="1"/>
    <xf numFmtId="3" fontId="6" fillId="23" borderId="0" xfId="46" applyNumberFormat="1" applyFont="1" applyFill="1"/>
    <xf numFmtId="3" fontId="2" fillId="23" borderId="9" xfId="0" applyNumberFormat="1" applyFont="1" applyFill="1" applyBorder="1" applyAlignment="1">
      <alignment horizontal="center"/>
    </xf>
    <xf numFmtId="3" fontId="45" fillId="23" borderId="0" xfId="47" applyNumberFormat="1" applyFont="1" applyFill="1" applyBorder="1"/>
    <xf numFmtId="3" fontId="39" fillId="23" borderId="0" xfId="0" applyNumberFormat="1" applyFont="1" applyFill="1" applyAlignment="1">
      <alignment horizontal="center"/>
    </xf>
    <xf numFmtId="3" fontId="3" fillId="23" borderId="0" xfId="0" applyNumberFormat="1" applyFont="1" applyFill="1" applyAlignment="1">
      <alignment horizontal="center"/>
    </xf>
    <xf numFmtId="3" fontId="0" fillId="0" borderId="0" xfId="0" applyNumberFormat="1"/>
    <xf numFmtId="3" fontId="42" fillId="23" borderId="0" xfId="0" applyNumberFormat="1" applyFont="1" applyFill="1" applyAlignment="1">
      <alignment horizontal="center" vertical="center" wrapText="1"/>
    </xf>
    <xf numFmtId="3" fontId="2" fillId="23" borderId="0" xfId="0" applyNumberFormat="1" applyFont="1" applyFill="1" applyAlignment="1">
      <alignment horizontal="left"/>
    </xf>
    <xf numFmtId="3" fontId="2" fillId="23" borderId="0" xfId="47" applyNumberFormat="1" applyFont="1" applyFill="1" applyBorder="1"/>
    <xf numFmtId="3" fontId="4" fillId="23" borderId="0" xfId="47" applyNumberFormat="1" applyFont="1" applyFill="1" applyBorder="1"/>
    <xf numFmtId="3" fontId="38" fillId="23" borderId="0" xfId="0" applyNumberFormat="1" applyFont="1" applyFill="1"/>
    <xf numFmtId="3" fontId="43" fillId="23" borderId="0" xfId="0" applyNumberFormat="1" applyFont="1" applyFill="1" applyAlignment="1">
      <alignment horizontal="center" vertical="center" wrapText="1"/>
    </xf>
    <xf numFmtId="3" fontId="2" fillId="23" borderId="24" xfId="0" applyNumberFormat="1" applyFont="1" applyFill="1" applyBorder="1" applyAlignment="1">
      <alignment horizontal="left"/>
    </xf>
    <xf numFmtId="3" fontId="7" fillId="23" borderId="0" xfId="0" applyNumberFormat="1" applyFont="1" applyFill="1" applyAlignment="1">
      <alignment horizontal="center"/>
    </xf>
    <xf numFmtId="0" fontId="5" fillId="23" borderId="0" xfId="0" applyFont="1" applyFill="1"/>
    <xf numFmtId="9" fontId="45" fillId="23" borderId="9" xfId="47" applyFont="1" applyFill="1" applyBorder="1" applyAlignment="1">
      <alignment horizontal="right"/>
    </xf>
    <xf numFmtId="9" fontId="2" fillId="23" borderId="9" xfId="47" applyFont="1" applyFill="1" applyBorder="1" applyAlignment="1">
      <alignment wrapText="1"/>
    </xf>
    <xf numFmtId="166" fontId="0" fillId="23" borderId="9" xfId="46" applyNumberFormat="1" applyFont="1" applyFill="1" applyBorder="1"/>
    <xf numFmtId="0" fontId="0" fillId="0" borderId="9" xfId="0" applyBorder="1" applyAlignment="1">
      <alignment horizontal="left"/>
    </xf>
    <xf numFmtId="0" fontId="0" fillId="0" borderId="0" xfId="0" applyAlignment="1">
      <alignment horizontal="left"/>
    </xf>
    <xf numFmtId="0" fontId="13" fillId="0" borderId="0" xfId="42" applyAlignment="1" applyProtection="1"/>
    <xf numFmtId="0" fontId="0" fillId="25" borderId="0" xfId="0" applyFill="1"/>
    <xf numFmtId="0" fontId="51" fillId="25" borderId="0" xfId="0" applyFont="1" applyFill="1"/>
    <xf numFmtId="0" fontId="0" fillId="26" borderId="34" xfId="0" applyFill="1" applyBorder="1"/>
    <xf numFmtId="0" fontId="0" fillId="26" borderId="35" xfId="0" applyFill="1" applyBorder="1"/>
    <xf numFmtId="0" fontId="0" fillId="26" borderId="36" xfId="0" applyFill="1" applyBorder="1"/>
    <xf numFmtId="0" fontId="0" fillId="26" borderId="37" xfId="0" applyFill="1" applyBorder="1"/>
    <xf numFmtId="0" fontId="50" fillId="26" borderId="0" xfId="0" applyFont="1" applyFill="1"/>
    <xf numFmtId="0" fontId="0" fillId="26" borderId="0" xfId="0" applyFill="1"/>
    <xf numFmtId="0" fontId="0" fillId="26" borderId="38" xfId="0" applyFill="1" applyBorder="1"/>
    <xf numFmtId="0" fontId="0" fillId="26" borderId="39" xfId="0" applyFill="1" applyBorder="1"/>
    <xf numFmtId="0" fontId="51" fillId="26" borderId="40" xfId="0" applyFont="1" applyFill="1" applyBorder="1"/>
    <xf numFmtId="0" fontId="51" fillId="26" borderId="41" xfId="0" applyFont="1" applyFill="1" applyBorder="1"/>
    <xf numFmtId="0" fontId="51" fillId="26" borderId="42" xfId="0" applyFont="1" applyFill="1" applyBorder="1"/>
    <xf numFmtId="0" fontId="51" fillId="26" borderId="0" xfId="0" applyFont="1" applyFill="1"/>
    <xf numFmtId="0" fontId="51" fillId="26" borderId="43" xfId="0" applyFont="1" applyFill="1" applyBorder="1"/>
    <xf numFmtId="0" fontId="0" fillId="26" borderId="42" xfId="0" applyFill="1" applyBorder="1"/>
    <xf numFmtId="0" fontId="0" fillId="26" borderId="43" xfId="0" applyFill="1" applyBorder="1"/>
    <xf numFmtId="0" fontId="0" fillId="23" borderId="9" xfId="0" applyFill="1" applyBorder="1" applyAlignment="1">
      <alignment horizontal="center" vertical="center"/>
    </xf>
    <xf numFmtId="0" fontId="0" fillId="25" borderId="9" xfId="0" applyFill="1" applyBorder="1" applyAlignment="1">
      <alignment horizontal="center" vertical="center"/>
    </xf>
    <xf numFmtId="0" fontId="0" fillId="23" borderId="9" xfId="0" applyFill="1" applyBorder="1" applyAlignment="1">
      <alignment horizontal="center" vertical="center" wrapText="1"/>
    </xf>
    <xf numFmtId="3" fontId="0" fillId="27" borderId="9" xfId="0" applyNumberFormat="1" applyFill="1" applyBorder="1" applyAlignment="1">
      <alignment horizontal="center"/>
    </xf>
    <xf numFmtId="1" fontId="2" fillId="23" borderId="9" xfId="0" applyNumberFormat="1" applyFont="1" applyFill="1" applyBorder="1" applyAlignment="1">
      <alignment horizontal="center"/>
    </xf>
    <xf numFmtId="3" fontId="0" fillId="25" borderId="0" xfId="0" applyNumberFormat="1" applyFill="1"/>
    <xf numFmtId="3" fontId="0" fillId="23" borderId="0" xfId="0" applyNumberFormat="1" applyFill="1" applyAlignment="1">
      <alignment horizontal="right"/>
    </xf>
    <xf numFmtId="3" fontId="53" fillId="25" borderId="9" xfId="0" applyNumberFormat="1" applyFont="1" applyFill="1" applyBorder="1" applyAlignment="1">
      <alignment horizontal="center"/>
    </xf>
    <xf numFmtId="9" fontId="53" fillId="23" borderId="9" xfId="0" applyNumberFormat="1" applyFont="1" applyFill="1" applyBorder="1" applyAlignment="1">
      <alignment horizontal="center"/>
    </xf>
    <xf numFmtId="165" fontId="53" fillId="25" borderId="9" xfId="0" applyNumberFormat="1" applyFont="1" applyFill="1" applyBorder="1" applyAlignment="1">
      <alignment horizontal="center"/>
    </xf>
    <xf numFmtId="0" fontId="0" fillId="25" borderId="9" xfId="0" applyFill="1" applyBorder="1" applyAlignment="1">
      <alignment horizontal="center" vertical="center" wrapText="1"/>
    </xf>
    <xf numFmtId="0" fontId="0" fillId="0" borderId="19" xfId="0" applyBorder="1"/>
    <xf numFmtId="0" fontId="0" fillId="23" borderId="17" xfId="0" applyFill="1" applyBorder="1" applyAlignment="1">
      <alignment horizontal="center"/>
    </xf>
    <xf numFmtId="0" fontId="0" fillId="23" borderId="19" xfId="0" applyFill="1" applyBorder="1" applyAlignment="1">
      <alignment horizontal="center"/>
    </xf>
    <xf numFmtId="0" fontId="0" fillId="23" borderId="20" xfId="0" applyFill="1" applyBorder="1" applyAlignment="1">
      <alignment horizontal="center"/>
    </xf>
    <xf numFmtId="0" fontId="0" fillId="0" borderId="0" xfId="0" applyAlignment="1">
      <alignment horizontal="center"/>
    </xf>
    <xf numFmtId="0" fontId="54" fillId="28" borderId="9" xfId="0" applyFont="1" applyFill="1" applyBorder="1" applyAlignment="1">
      <alignment horizontal="left"/>
    </xf>
    <xf numFmtId="0" fontId="54" fillId="29" borderId="9" xfId="0" applyFont="1" applyFill="1" applyBorder="1" applyAlignment="1">
      <alignment horizontal="left"/>
    </xf>
    <xf numFmtId="0" fontId="54" fillId="30" borderId="9" xfId="0" applyFont="1" applyFill="1" applyBorder="1" applyAlignment="1">
      <alignment horizontal="left" vertical="center"/>
    </xf>
    <xf numFmtId="0" fontId="54" fillId="31" borderId="9" xfId="0" applyFont="1" applyFill="1" applyBorder="1" applyAlignment="1">
      <alignment horizontal="center"/>
    </xf>
    <xf numFmtId="0" fontId="54" fillId="32" borderId="9" xfId="0" applyFont="1" applyFill="1" applyBorder="1" applyAlignment="1">
      <alignment horizontal="left"/>
    </xf>
    <xf numFmtId="0" fontId="54" fillId="33" borderId="9" xfId="0" applyFont="1" applyFill="1" applyBorder="1" applyAlignment="1">
      <alignment horizontal="left"/>
    </xf>
    <xf numFmtId="0" fontId="54" fillId="34" borderId="9" xfId="0" applyFont="1" applyFill="1" applyBorder="1" applyAlignment="1">
      <alignment horizontal="left"/>
    </xf>
    <xf numFmtId="0" fontId="54" fillId="36" borderId="9" xfId="0" applyFont="1" applyFill="1" applyBorder="1" applyAlignment="1">
      <alignment horizontal="left"/>
    </xf>
    <xf numFmtId="166" fontId="0" fillId="37" borderId="9" xfId="46" applyNumberFormat="1" applyFont="1" applyFill="1" applyBorder="1" applyAlignment="1">
      <alignment horizontal="left"/>
    </xf>
    <xf numFmtId="166" fontId="0" fillId="38" borderId="9" xfId="46" applyNumberFormat="1" applyFont="1" applyFill="1" applyBorder="1" applyAlignment="1">
      <alignment horizontal="left"/>
    </xf>
    <xf numFmtId="0" fontId="0" fillId="39" borderId="9" xfId="46" applyFont="1" applyFill="1" applyBorder="1" applyAlignment="1">
      <alignment horizontal="left"/>
    </xf>
    <xf numFmtId="166" fontId="54" fillId="40" borderId="9" xfId="46" applyNumberFormat="1" applyFont="1" applyFill="1" applyBorder="1" applyAlignment="1">
      <alignment horizontal="left"/>
    </xf>
    <xf numFmtId="0" fontId="54" fillId="42" borderId="9" xfId="0" applyFont="1" applyFill="1" applyBorder="1" applyAlignment="1">
      <alignment horizontal="left"/>
    </xf>
    <xf numFmtId="0" fontId="0" fillId="43" borderId="9" xfId="0" applyFill="1" applyBorder="1" applyAlignment="1">
      <alignment horizontal="left"/>
    </xf>
    <xf numFmtId="0" fontId="0" fillId="44" borderId="9" xfId="0" applyFill="1" applyBorder="1" applyAlignment="1">
      <alignment horizontal="left"/>
    </xf>
    <xf numFmtId="0" fontId="0" fillId="45" borderId="9" xfId="0" applyFill="1" applyBorder="1" applyAlignment="1">
      <alignment horizontal="left"/>
    </xf>
    <xf numFmtId="0" fontId="0" fillId="46" borderId="9" xfId="0" applyFill="1" applyBorder="1" applyAlignment="1">
      <alignment horizontal="left"/>
    </xf>
    <xf numFmtId="0" fontId="54" fillId="49" borderId="9" xfId="0" applyFont="1" applyFill="1" applyBorder="1" applyAlignment="1">
      <alignment horizontal="center"/>
    </xf>
    <xf numFmtId="0" fontId="55" fillId="28" borderId="9" xfId="42" applyFont="1" applyFill="1" applyBorder="1" applyAlignment="1" applyProtection="1">
      <alignment horizontal="center" vertical="center" wrapText="1"/>
    </xf>
    <xf numFmtId="0" fontId="55" fillId="31" borderId="9" xfId="42" applyFont="1" applyFill="1" applyBorder="1" applyAlignment="1" applyProtection="1">
      <alignment horizontal="center" vertical="center" wrapText="1"/>
    </xf>
    <xf numFmtId="0" fontId="55" fillId="35" borderId="9" xfId="42" applyFont="1" applyFill="1" applyBorder="1" applyAlignment="1" applyProtection="1">
      <alignment horizontal="center" vertical="center" wrapText="1"/>
    </xf>
    <xf numFmtId="0" fontId="55" fillId="41" borderId="9" xfId="42" applyFont="1" applyFill="1" applyBorder="1" applyAlignment="1" applyProtection="1">
      <alignment horizontal="center" vertical="center" wrapText="1"/>
    </xf>
    <xf numFmtId="3" fontId="55" fillId="47" borderId="9" xfId="42" applyNumberFormat="1" applyFont="1" applyFill="1" applyBorder="1" applyAlignment="1" applyProtection="1">
      <alignment horizontal="center" vertical="center" wrapText="1"/>
    </xf>
    <xf numFmtId="0" fontId="55" fillId="48" borderId="9" xfId="42" applyFont="1" applyFill="1" applyBorder="1" applyAlignment="1" applyProtection="1">
      <alignment horizontal="center" vertical="center" wrapText="1"/>
    </xf>
    <xf numFmtId="0" fontId="55" fillId="49" borderId="9" xfId="42" applyFont="1" applyFill="1" applyBorder="1" applyAlignment="1" applyProtection="1">
      <alignment horizontal="center" vertical="center" wrapText="1"/>
    </xf>
    <xf numFmtId="0" fontId="59" fillId="23" borderId="0" xfId="0" applyFont="1" applyFill="1"/>
    <xf numFmtId="0" fontId="49" fillId="50" borderId="0" xfId="0" applyFont="1" applyFill="1" applyAlignment="1">
      <alignment vertical="center"/>
    </xf>
    <xf numFmtId="3" fontId="0" fillId="26" borderId="9" xfId="0" applyNumberFormat="1" applyFill="1" applyBorder="1"/>
    <xf numFmtId="3" fontId="0" fillId="26" borderId="10" xfId="0" applyNumberFormat="1" applyFill="1" applyBorder="1"/>
    <xf numFmtId="9" fontId="0" fillId="26" borderId="10" xfId="0" applyNumberFormat="1" applyFill="1" applyBorder="1"/>
    <xf numFmtId="9" fontId="0" fillId="26" borderId="9" xfId="0" applyNumberFormat="1" applyFill="1" applyBorder="1"/>
    <xf numFmtId="9" fontId="6" fillId="26" borderId="9" xfId="0" applyNumberFormat="1" applyFont="1" applyFill="1" applyBorder="1"/>
    <xf numFmtId="9" fontId="6" fillId="26" borderId="10" xfId="0" applyNumberFormat="1" applyFont="1" applyFill="1" applyBorder="1"/>
    <xf numFmtId="0" fontId="0" fillId="50" borderId="0" xfId="0" applyFill="1"/>
    <xf numFmtId="0" fontId="54" fillId="50" borderId="9" xfId="0" applyFont="1" applyFill="1" applyBorder="1" applyAlignment="1">
      <alignment horizontal="center"/>
    </xf>
    <xf numFmtId="3" fontId="58" fillId="50" borderId="9" xfId="0" applyNumberFormat="1" applyFont="1" applyFill="1" applyBorder="1" applyAlignment="1">
      <alignment horizontal="center"/>
    </xf>
    <xf numFmtId="9" fontId="4" fillId="23" borderId="17" xfId="47" applyFont="1" applyFill="1" applyBorder="1"/>
    <xf numFmtId="9" fontId="4" fillId="26" borderId="9" xfId="0" applyNumberFormat="1" applyFont="1" applyFill="1" applyBorder="1"/>
    <xf numFmtId="9" fontId="4" fillId="26" borderId="10" xfId="0" applyNumberFormat="1" applyFont="1" applyFill="1" applyBorder="1"/>
    <xf numFmtId="3" fontId="4" fillId="26" borderId="9" xfId="46" applyNumberFormat="1" applyFont="1" applyFill="1" applyBorder="1"/>
    <xf numFmtId="3" fontId="6" fillId="26" borderId="9" xfId="46" applyNumberFormat="1" applyFont="1" applyFill="1" applyBorder="1"/>
    <xf numFmtId="9" fontId="0" fillId="26" borderId="9" xfId="0" applyNumberFormat="1" applyFill="1" applyBorder="1" applyAlignment="1">
      <alignment horizontal="right"/>
    </xf>
    <xf numFmtId="9" fontId="0" fillId="26" borderId="10" xfId="0" applyNumberFormat="1" applyFill="1" applyBorder="1" applyAlignment="1">
      <alignment horizontal="right"/>
    </xf>
    <xf numFmtId="9" fontId="6" fillId="26" borderId="17" xfId="0" applyNumberFormat="1" applyFont="1" applyFill="1" applyBorder="1"/>
    <xf numFmtId="9" fontId="6" fillId="26" borderId="22" xfId="0" applyNumberFormat="1" applyFont="1" applyFill="1" applyBorder="1"/>
    <xf numFmtId="169" fontId="0" fillId="26" borderId="9" xfId="0" applyNumberFormat="1" applyFill="1" applyBorder="1"/>
    <xf numFmtId="9" fontId="4" fillId="26" borderId="9" xfId="47" applyFont="1" applyFill="1" applyBorder="1"/>
    <xf numFmtId="0" fontId="0" fillId="23" borderId="0" xfId="0" applyFill="1" applyAlignment="1">
      <alignment wrapText="1"/>
    </xf>
    <xf numFmtId="0" fontId="54" fillId="50" borderId="10" xfId="0" applyFont="1" applyFill="1" applyBorder="1" applyAlignment="1">
      <alignment horizontal="center" vertical="center" wrapText="1"/>
    </xf>
    <xf numFmtId="3" fontId="58" fillId="50" borderId="10" xfId="0" applyNumberFormat="1" applyFont="1" applyFill="1" applyBorder="1" applyAlignment="1">
      <alignment horizontal="center" vertical="center" wrapText="1"/>
    </xf>
    <xf numFmtId="0" fontId="54" fillId="50" borderId="9" xfId="0" applyFont="1" applyFill="1" applyBorder="1" applyAlignment="1">
      <alignment horizontal="center" vertical="center" wrapText="1"/>
    </xf>
    <xf numFmtId="3" fontId="58" fillId="50" borderId="20" xfId="0" applyNumberFormat="1" applyFont="1" applyFill="1" applyBorder="1" applyAlignment="1">
      <alignment horizontal="center" vertical="center" wrapText="1"/>
    </xf>
    <xf numFmtId="0" fontId="0" fillId="23" borderId="0" xfId="0" applyFill="1" applyAlignment="1">
      <alignment vertical="center" wrapText="1"/>
    </xf>
    <xf numFmtId="0" fontId="0" fillId="23" borderId="0" xfId="0" applyFill="1" applyAlignment="1">
      <alignment horizontal="center" vertical="center" wrapText="1"/>
    </xf>
    <xf numFmtId="3" fontId="58" fillId="50" borderId="9" xfId="0" applyNumberFormat="1" applyFont="1" applyFill="1" applyBorder="1" applyAlignment="1">
      <alignment horizontal="center" vertical="center" wrapText="1"/>
    </xf>
    <xf numFmtId="0" fontId="0" fillId="26" borderId="32" xfId="0" applyFill="1" applyBorder="1" applyAlignment="1">
      <alignment horizontal="left" vertical="center" wrapText="1"/>
    </xf>
    <xf numFmtId="0" fontId="0" fillId="26" borderId="0" xfId="0" applyFill="1" applyAlignment="1">
      <alignment horizontal="left" vertical="center" wrapText="1"/>
    </xf>
    <xf numFmtId="0" fontId="0" fillId="26" borderId="33" xfId="0" applyFill="1" applyBorder="1" applyAlignment="1">
      <alignment horizontal="left" vertical="center" wrapText="1"/>
    </xf>
    <xf numFmtId="0" fontId="0" fillId="51" borderId="9" xfId="0" applyFill="1" applyBorder="1" applyAlignment="1">
      <alignment horizontal="left"/>
    </xf>
    <xf numFmtId="0" fontId="0" fillId="23" borderId="9" xfId="0" applyFill="1" applyBorder="1" applyAlignment="1">
      <alignment horizontal="left" vertical="center"/>
    </xf>
    <xf numFmtId="0" fontId="0" fillId="26" borderId="9" xfId="0" applyFill="1" applyBorder="1"/>
    <xf numFmtId="3" fontId="4" fillId="0" borderId="20" xfId="0" applyNumberFormat="1" applyFont="1" applyBorder="1"/>
    <xf numFmtId="3" fontId="4" fillId="0" borderId="9" xfId="0" applyNumberFormat="1" applyFont="1" applyBorder="1"/>
    <xf numFmtId="9" fontId="4" fillId="0" borderId="9" xfId="47" applyFont="1" applyFill="1" applyBorder="1"/>
    <xf numFmtId="3" fontId="4" fillId="0" borderId="23" xfId="0" applyNumberFormat="1" applyFont="1" applyBorder="1"/>
    <xf numFmtId="9" fontId="2" fillId="0" borderId="9" xfId="0" applyNumberFormat="1" applyFont="1" applyBorder="1"/>
    <xf numFmtId="3" fontId="0" fillId="25" borderId="9" xfId="0" applyNumberFormat="1" applyFill="1" applyBorder="1" applyAlignment="1">
      <alignment horizontal="left"/>
    </xf>
    <xf numFmtId="0" fontId="3" fillId="26" borderId="9" xfId="0" applyFont="1" applyFill="1" applyBorder="1"/>
    <xf numFmtId="14" fontId="0" fillId="26" borderId="9" xfId="0" applyNumberFormat="1" applyFill="1" applyBorder="1"/>
    <xf numFmtId="17" fontId="0" fillId="26" borderId="9" xfId="0" applyNumberFormat="1" applyFill="1" applyBorder="1"/>
    <xf numFmtId="0" fontId="4" fillId="23" borderId="9" xfId="0" applyFont="1" applyFill="1" applyBorder="1" applyAlignment="1">
      <alignment horizontal="right"/>
    </xf>
    <xf numFmtId="166" fontId="4" fillId="26" borderId="9" xfId="0" applyNumberFormat="1" applyFont="1" applyFill="1" applyBorder="1"/>
    <xf numFmtId="169" fontId="0" fillId="23" borderId="9" xfId="0" applyNumberFormat="1" applyFill="1" applyBorder="1"/>
    <xf numFmtId="0" fontId="2" fillId="23" borderId="20" xfId="0" applyFont="1" applyFill="1" applyBorder="1"/>
    <xf numFmtId="169" fontId="4" fillId="23" borderId="9" xfId="0" applyNumberFormat="1" applyFont="1" applyFill="1" applyBorder="1"/>
    <xf numFmtId="0" fontId="54" fillId="50" borderId="10" xfId="0" applyFont="1" applyFill="1" applyBorder="1" applyAlignment="1">
      <alignment horizontal="center" vertical="center"/>
    </xf>
    <xf numFmtId="0" fontId="0" fillId="0" borderId="0" xfId="0" applyAlignment="1">
      <alignment vertical="center" wrapText="1"/>
    </xf>
    <xf numFmtId="3" fontId="58" fillId="50" borderId="10" xfId="0" applyNumberFormat="1" applyFont="1" applyFill="1" applyBorder="1" applyAlignment="1">
      <alignment horizontal="center" vertical="center"/>
    </xf>
    <xf numFmtId="0" fontId="61" fillId="23" borderId="0" xfId="0" applyFont="1" applyFill="1"/>
    <xf numFmtId="0" fontId="62" fillId="23" borderId="0" xfId="0" applyFont="1" applyFill="1" applyAlignment="1">
      <alignment horizontal="left"/>
    </xf>
    <xf numFmtId="0" fontId="63" fillId="23" borderId="0" xfId="0" applyFont="1" applyFill="1"/>
    <xf numFmtId="166" fontId="64" fillId="23" borderId="0" xfId="46" applyNumberFormat="1" applyFont="1" applyFill="1"/>
    <xf numFmtId="0" fontId="65" fillId="23" borderId="0" xfId="0" applyFont="1" applyFill="1"/>
    <xf numFmtId="0" fontId="54" fillId="50" borderId="17" xfId="0" applyFont="1" applyFill="1" applyBorder="1" applyAlignment="1">
      <alignment horizontal="center"/>
    </xf>
    <xf numFmtId="3" fontId="54" fillId="50" borderId="9" xfId="46" applyNumberFormat="1" applyFont="1" applyFill="1" applyBorder="1" applyAlignment="1">
      <alignment horizontal="center"/>
    </xf>
    <xf numFmtId="166" fontId="54" fillId="50" borderId="9" xfId="46" applyNumberFormat="1" applyFont="1" applyFill="1" applyBorder="1" applyAlignment="1">
      <alignment horizontal="center"/>
    </xf>
    <xf numFmtId="166" fontId="58" fillId="50" borderId="9" xfId="46" applyNumberFormat="1" applyFont="1" applyFill="1" applyBorder="1" applyAlignment="1">
      <alignment horizontal="center"/>
    </xf>
    <xf numFmtId="3" fontId="2" fillId="23" borderId="21" xfId="46" applyNumberFormat="1" applyFont="1" applyFill="1" applyBorder="1"/>
    <xf numFmtId="3" fontId="2" fillId="23" borderId="26" xfId="0" applyNumberFormat="1" applyFont="1" applyFill="1" applyBorder="1"/>
    <xf numFmtId="166" fontId="0" fillId="23" borderId="17" xfId="46" applyNumberFormat="1" applyFont="1" applyFill="1" applyBorder="1" applyAlignment="1">
      <alignment horizontal="left"/>
    </xf>
    <xf numFmtId="166" fontId="4" fillId="25" borderId="17" xfId="46" applyNumberFormat="1" applyFont="1" applyFill="1" applyBorder="1" applyAlignment="1">
      <alignment horizontal="left"/>
    </xf>
    <xf numFmtId="169" fontId="0" fillId="23" borderId="20" xfId="0" applyNumberFormat="1" applyFill="1" applyBorder="1"/>
    <xf numFmtId="166" fontId="2" fillId="23" borderId="9" xfId="46" applyNumberFormat="1" applyFont="1" applyFill="1" applyBorder="1"/>
    <xf numFmtId="0" fontId="2" fillId="23" borderId="9" xfId="0" applyFont="1" applyFill="1" applyBorder="1"/>
    <xf numFmtId="0" fontId="0" fillId="23" borderId="22" xfId="0" applyFill="1" applyBorder="1"/>
    <xf numFmtId="9" fontId="4" fillId="26" borderId="22" xfId="0" applyNumberFormat="1" applyFont="1" applyFill="1" applyBorder="1"/>
    <xf numFmtId="9" fontId="0" fillId="26" borderId="22" xfId="0" applyNumberFormat="1" applyFill="1" applyBorder="1"/>
    <xf numFmtId="0" fontId="54" fillId="52" borderId="9" xfId="0" applyFont="1" applyFill="1" applyBorder="1" applyAlignment="1">
      <alignment horizontal="left"/>
    </xf>
    <xf numFmtId="0" fontId="0" fillId="53" borderId="9" xfId="0" applyFill="1" applyBorder="1" applyAlignment="1">
      <alignment horizontal="left"/>
    </xf>
    <xf numFmtId="0" fontId="0" fillId="54" borderId="9" xfId="0" applyFill="1" applyBorder="1" applyAlignment="1">
      <alignment horizontal="left"/>
    </xf>
    <xf numFmtId="0" fontId="54" fillId="55" borderId="9" xfId="0" applyFont="1" applyFill="1" applyBorder="1" applyAlignment="1">
      <alignment horizontal="left"/>
    </xf>
    <xf numFmtId="166" fontId="4" fillId="0" borderId="9" xfId="46" applyNumberFormat="1" applyFont="1" applyBorder="1"/>
    <xf numFmtId="0" fontId="0" fillId="56" borderId="9" xfId="0" applyFill="1" applyBorder="1" applyAlignment="1">
      <alignment horizontal="left"/>
    </xf>
    <xf numFmtId="0" fontId="0" fillId="57" borderId="9" xfId="0" applyFill="1" applyBorder="1" applyAlignment="1">
      <alignment horizontal="left"/>
    </xf>
    <xf numFmtId="0" fontId="8" fillId="23" borderId="9" xfId="46" applyFont="1" applyFill="1" applyBorder="1"/>
    <xf numFmtId="3" fontId="2" fillId="23" borderId="9" xfId="46" applyNumberFormat="1" applyFont="1" applyFill="1" applyBorder="1"/>
    <xf numFmtId="0" fontId="2" fillId="23" borderId="9" xfId="46" applyFont="1" applyFill="1" applyBorder="1"/>
    <xf numFmtId="0" fontId="13" fillId="0" borderId="49" xfId="42" applyBorder="1" applyAlignment="1" applyProtection="1"/>
    <xf numFmtId="0" fontId="0" fillId="0" borderId="50" xfId="0" applyBorder="1"/>
    <xf numFmtId="0" fontId="0" fillId="0" borderId="51" xfId="0" applyBorder="1"/>
    <xf numFmtId="0" fontId="54" fillId="50" borderId="9" xfId="46" applyFont="1" applyFill="1" applyBorder="1" applyAlignment="1">
      <alignment horizontal="center"/>
    </xf>
    <xf numFmtId="171" fontId="0" fillId="23" borderId="9" xfId="0" applyNumberFormat="1" applyFill="1" applyBorder="1"/>
    <xf numFmtId="169" fontId="67" fillId="23" borderId="9" xfId="0" applyNumberFormat="1" applyFont="1" applyFill="1" applyBorder="1"/>
    <xf numFmtId="9" fontId="67" fillId="23" borderId="17" xfId="47" applyFont="1" applyFill="1" applyBorder="1"/>
    <xf numFmtId="3" fontId="67" fillId="23" borderId="17" xfId="0" applyNumberFormat="1" applyFont="1" applyFill="1" applyBorder="1"/>
    <xf numFmtId="4" fontId="67" fillId="23" borderId="17" xfId="0" applyNumberFormat="1" applyFont="1" applyFill="1" applyBorder="1"/>
    <xf numFmtId="3" fontId="67" fillId="0" borderId="9" xfId="0" applyNumberFormat="1" applyFont="1" applyBorder="1" applyAlignment="1">
      <alignment horizontal="right"/>
    </xf>
    <xf numFmtId="0" fontId="67" fillId="23" borderId="0" xfId="0" applyFont="1" applyFill="1"/>
    <xf numFmtId="9" fontId="67" fillId="26" borderId="9" xfId="0" applyNumberFormat="1" applyFont="1" applyFill="1" applyBorder="1"/>
    <xf numFmtId="0" fontId="67" fillId="23" borderId="19" xfId="0" applyFont="1" applyFill="1" applyBorder="1"/>
    <xf numFmtId="3" fontId="68" fillId="23" borderId="20" xfId="0" applyNumberFormat="1" applyFont="1" applyFill="1" applyBorder="1"/>
    <xf numFmtId="0" fontId="67" fillId="23" borderId="17" xfId="0" applyFont="1" applyFill="1" applyBorder="1"/>
    <xf numFmtId="3" fontId="67" fillId="23" borderId="0" xfId="0" applyNumberFormat="1" applyFont="1" applyFill="1"/>
    <xf numFmtId="0" fontId="68" fillId="23" borderId="0" xfId="0" applyFont="1" applyFill="1"/>
    <xf numFmtId="3" fontId="68" fillId="23" borderId="0" xfId="0" applyNumberFormat="1" applyFont="1" applyFill="1"/>
    <xf numFmtId="2" fontId="67" fillId="23" borderId="0" xfId="0" applyNumberFormat="1" applyFont="1" applyFill="1"/>
    <xf numFmtId="168" fontId="67" fillId="23" borderId="0" xfId="0" applyNumberFormat="1" applyFont="1" applyFill="1"/>
    <xf numFmtId="9" fontId="67" fillId="23" borderId="0" xfId="47" applyFont="1" applyFill="1"/>
    <xf numFmtId="0" fontId="54" fillId="35" borderId="17" xfId="0" applyFont="1" applyFill="1" applyBorder="1"/>
    <xf numFmtId="0" fontId="54" fillId="35" borderId="9" xfId="0" applyFont="1" applyFill="1" applyBorder="1" applyAlignment="1">
      <alignment horizontal="center"/>
    </xf>
    <xf numFmtId="3" fontId="54" fillId="35" borderId="9" xfId="0" applyNumberFormat="1" applyFont="1" applyFill="1" applyBorder="1" applyAlignment="1">
      <alignment horizontal="center"/>
    </xf>
    <xf numFmtId="0" fontId="0" fillId="23" borderId="24" xfId="0" applyFill="1" applyBorder="1"/>
    <xf numFmtId="9" fontId="67" fillId="23" borderId="9" xfId="47" applyFont="1" applyFill="1" applyBorder="1"/>
    <xf numFmtId="0" fontId="54" fillId="31" borderId="20" xfId="0" applyFont="1" applyFill="1" applyBorder="1" applyAlignment="1">
      <alignment horizontal="center"/>
    </xf>
    <xf numFmtId="3" fontId="54" fillId="31" borderId="9" xfId="0" applyNumberFormat="1" applyFont="1" applyFill="1" applyBorder="1" applyAlignment="1">
      <alignment horizontal="center"/>
    </xf>
    <xf numFmtId="0" fontId="54" fillId="28" borderId="20" xfId="0" applyFont="1" applyFill="1" applyBorder="1" applyAlignment="1">
      <alignment horizontal="center"/>
    </xf>
    <xf numFmtId="0" fontId="54" fillId="28" borderId="9" xfId="0" applyFont="1" applyFill="1" applyBorder="1" applyAlignment="1">
      <alignment horizontal="center"/>
    </xf>
    <xf numFmtId="3" fontId="54" fillId="28" borderId="9" xfId="0" applyNumberFormat="1" applyFont="1" applyFill="1" applyBorder="1" applyAlignment="1">
      <alignment horizontal="center"/>
    </xf>
    <xf numFmtId="0" fontId="54" fillId="41" borderId="17" xfId="0" applyFont="1" applyFill="1" applyBorder="1" applyAlignment="1">
      <alignment horizontal="center"/>
    </xf>
    <xf numFmtId="0" fontId="54" fillId="41" borderId="9" xfId="0" applyFont="1" applyFill="1" applyBorder="1" applyAlignment="1">
      <alignment horizontal="center"/>
    </xf>
    <xf numFmtId="3" fontId="54" fillId="41" borderId="9" xfId="0" applyNumberFormat="1" applyFont="1" applyFill="1" applyBorder="1" applyAlignment="1">
      <alignment horizontal="center"/>
    </xf>
    <xf numFmtId="0" fontId="54" fillId="50" borderId="9" xfId="0" applyFont="1" applyFill="1" applyBorder="1" applyAlignment="1">
      <alignment horizontal="center" vertical="center"/>
    </xf>
    <xf numFmtId="3" fontId="67" fillId="23" borderId="9" xfId="0" applyNumberFormat="1" applyFont="1" applyFill="1" applyBorder="1"/>
    <xf numFmtId="169" fontId="4" fillId="26" borderId="9" xfId="0" applyNumberFormat="1" applyFont="1" applyFill="1" applyBorder="1"/>
    <xf numFmtId="3" fontId="6" fillId="26" borderId="9" xfId="0" applyNumberFormat="1" applyFont="1" applyFill="1" applyBorder="1"/>
    <xf numFmtId="4" fontId="67" fillId="23" borderId="9" xfId="0" applyNumberFormat="1" applyFont="1" applyFill="1" applyBorder="1"/>
    <xf numFmtId="0" fontId="0" fillId="26" borderId="9" xfId="0" applyFill="1" applyBorder="1" applyAlignment="1">
      <alignment horizontal="center"/>
    </xf>
    <xf numFmtId="3" fontId="0" fillId="23" borderId="10" xfId="0" applyNumberFormat="1" applyFill="1" applyBorder="1" applyAlignment="1">
      <alignment horizontal="right"/>
    </xf>
    <xf numFmtId="0" fontId="0" fillId="58" borderId="9" xfId="0" applyFill="1" applyBorder="1" applyAlignment="1">
      <alignment horizontal="left"/>
    </xf>
    <xf numFmtId="3" fontId="58" fillId="50" borderId="20" xfId="0" applyNumberFormat="1" applyFont="1" applyFill="1" applyBorder="1" applyAlignment="1">
      <alignment horizontal="center"/>
    </xf>
    <xf numFmtId="0" fontId="13" fillId="26" borderId="9" xfId="42" applyFill="1" applyBorder="1" applyAlignment="1" applyProtection="1"/>
    <xf numFmtId="0" fontId="54" fillId="47" borderId="9" xfId="0" applyFont="1" applyFill="1" applyBorder="1" applyAlignment="1">
      <alignment horizontal="center"/>
    </xf>
    <xf numFmtId="0" fontId="54" fillId="48" borderId="9" xfId="0" applyFont="1" applyFill="1" applyBorder="1" applyAlignment="1">
      <alignment horizontal="center"/>
    </xf>
    <xf numFmtId="3" fontId="54" fillId="50" borderId="20" xfId="0" applyNumberFormat="1" applyFont="1" applyFill="1" applyBorder="1" applyAlignment="1">
      <alignment horizontal="center"/>
    </xf>
    <xf numFmtId="167" fontId="67" fillId="23" borderId="17" xfId="0" applyNumberFormat="1" applyFont="1" applyFill="1" applyBorder="1"/>
    <xf numFmtId="0" fontId="54" fillId="47" borderId="17" xfId="0" applyFont="1" applyFill="1" applyBorder="1"/>
    <xf numFmtId="0" fontId="54" fillId="47" borderId="20" xfId="0" applyFont="1" applyFill="1" applyBorder="1" applyAlignment="1">
      <alignment horizontal="center"/>
    </xf>
    <xf numFmtId="3" fontId="54" fillId="47" borderId="9" xfId="0" applyNumberFormat="1" applyFont="1" applyFill="1" applyBorder="1" applyAlignment="1">
      <alignment horizontal="center"/>
    </xf>
    <xf numFmtId="0" fontId="54" fillId="48" borderId="10" xfId="0" applyFont="1" applyFill="1" applyBorder="1"/>
    <xf numFmtId="3" fontId="54" fillId="48" borderId="9" xfId="0" applyNumberFormat="1" applyFont="1" applyFill="1" applyBorder="1" applyAlignment="1">
      <alignment horizontal="center"/>
    </xf>
    <xf numFmtId="0" fontId="0" fillId="59" borderId="9" xfId="0" applyFill="1" applyBorder="1" applyAlignment="1">
      <alignment horizontal="left"/>
    </xf>
    <xf numFmtId="0" fontId="0" fillId="23" borderId="0" xfId="0" applyFill="1" applyAlignment="1">
      <alignment vertical="center"/>
    </xf>
    <xf numFmtId="0" fontId="54" fillId="50" borderId="17" xfId="0" applyFont="1" applyFill="1" applyBorder="1" applyAlignment="1">
      <alignment horizontal="center" vertical="center"/>
    </xf>
    <xf numFmtId="3" fontId="58" fillId="50" borderId="20" xfId="0" applyNumberFormat="1" applyFont="1" applyFill="1" applyBorder="1" applyAlignment="1">
      <alignment horizontal="center" vertical="center"/>
    </xf>
    <xf numFmtId="0" fontId="67" fillId="23" borderId="0" xfId="0" applyFont="1" applyFill="1" applyAlignment="1">
      <alignment vertical="center"/>
    </xf>
    <xf numFmtId="2" fontId="67" fillId="23" borderId="0" xfId="0" applyNumberFormat="1" applyFont="1" applyFill="1" applyAlignment="1">
      <alignment vertical="center"/>
    </xf>
    <xf numFmtId="1" fontId="67" fillId="26" borderId="9" xfId="0" applyNumberFormat="1" applyFont="1" applyFill="1" applyBorder="1"/>
    <xf numFmtId="1" fontId="67" fillId="26" borderId="9" xfId="0" applyNumberFormat="1" applyFont="1" applyFill="1" applyBorder="1" applyAlignment="1">
      <alignment wrapText="1"/>
    </xf>
    <xf numFmtId="0" fontId="54" fillId="49" borderId="17" xfId="0" applyFont="1" applyFill="1" applyBorder="1"/>
    <xf numFmtId="0" fontId="54" fillId="49" borderId="20" xfId="0" applyFont="1" applyFill="1" applyBorder="1" applyAlignment="1">
      <alignment horizontal="center"/>
    </xf>
    <xf numFmtId="3" fontId="54" fillId="49" borderId="9" xfId="0" applyNumberFormat="1" applyFont="1" applyFill="1" applyBorder="1" applyAlignment="1">
      <alignment horizontal="center"/>
    </xf>
    <xf numFmtId="0" fontId="58" fillId="28" borderId="13" xfId="0" applyFont="1" applyFill="1" applyBorder="1"/>
    <xf numFmtId="3" fontId="58" fillId="28" borderId="14" xfId="0" applyNumberFormat="1" applyFont="1" applyFill="1" applyBorder="1"/>
    <xf numFmtId="3" fontId="58" fillId="28" borderId="29" xfId="0" applyNumberFormat="1" applyFont="1" applyFill="1" applyBorder="1"/>
    <xf numFmtId="0" fontId="54" fillId="28" borderId="15" xfId="0" applyFont="1" applyFill="1" applyBorder="1"/>
    <xf numFmtId="3" fontId="54" fillId="28" borderId="9" xfId="0" applyNumberFormat="1" applyFont="1" applyFill="1" applyBorder="1"/>
    <xf numFmtId="3" fontId="54" fillId="28" borderId="18" xfId="0" applyNumberFormat="1" applyFont="1" applyFill="1" applyBorder="1"/>
    <xf numFmtId="0" fontId="54" fillId="28" borderId="16" xfId="0" applyFont="1" applyFill="1" applyBorder="1"/>
    <xf numFmtId="3" fontId="54" fillId="28" borderId="11" xfId="0" applyNumberFormat="1" applyFont="1" applyFill="1" applyBorder="1"/>
    <xf numFmtId="3" fontId="54" fillId="28" borderId="12" xfId="0" applyNumberFormat="1" applyFont="1" applyFill="1" applyBorder="1"/>
    <xf numFmtId="0" fontId="58" fillId="31" borderId="13" xfId="0" applyFont="1" applyFill="1" applyBorder="1"/>
    <xf numFmtId="3" fontId="58" fillId="31" borderId="14" xfId="0" applyNumberFormat="1" applyFont="1" applyFill="1" applyBorder="1"/>
    <xf numFmtId="3" fontId="58" fillId="31" borderId="29" xfId="0" applyNumberFormat="1" applyFont="1" applyFill="1" applyBorder="1"/>
    <xf numFmtId="0" fontId="54" fillId="31" borderId="15" xfId="0" applyFont="1" applyFill="1" applyBorder="1"/>
    <xf numFmtId="3" fontId="54" fillId="31" borderId="9" xfId="0" applyNumberFormat="1" applyFont="1" applyFill="1" applyBorder="1"/>
    <xf numFmtId="3" fontId="54" fillId="31" borderId="18" xfId="0" applyNumberFormat="1" applyFont="1" applyFill="1" applyBorder="1"/>
    <xf numFmtId="9" fontId="54" fillId="31" borderId="16" xfId="0" applyNumberFormat="1" applyFont="1" applyFill="1" applyBorder="1"/>
    <xf numFmtId="3" fontId="54" fillId="31" borderId="11" xfId="0" applyNumberFormat="1" applyFont="1" applyFill="1" applyBorder="1"/>
    <xf numFmtId="3" fontId="54" fillId="31" borderId="12" xfId="0" applyNumberFormat="1" applyFont="1" applyFill="1" applyBorder="1"/>
    <xf numFmtId="0" fontId="58" fillId="35" borderId="13" xfId="0" applyFont="1" applyFill="1" applyBorder="1"/>
    <xf numFmtId="3" fontId="58" fillId="35" borderId="14" xfId="0" applyNumberFormat="1" applyFont="1" applyFill="1" applyBorder="1"/>
    <xf numFmtId="3" fontId="58" fillId="35" borderId="29" xfId="0" applyNumberFormat="1" applyFont="1" applyFill="1" applyBorder="1"/>
    <xf numFmtId="0" fontId="54" fillId="35" borderId="15" xfId="0" applyFont="1" applyFill="1" applyBorder="1"/>
    <xf numFmtId="3" fontId="54" fillId="35" borderId="9" xfId="0" applyNumberFormat="1" applyFont="1" applyFill="1" applyBorder="1"/>
    <xf numFmtId="3" fontId="54" fillId="35" borderId="18" xfId="0" applyNumberFormat="1" applyFont="1" applyFill="1" applyBorder="1"/>
    <xf numFmtId="0" fontId="54" fillId="35" borderId="16" xfId="0" applyFont="1" applyFill="1" applyBorder="1"/>
    <xf numFmtId="3" fontId="54" fillId="35" borderId="11" xfId="0" applyNumberFormat="1" applyFont="1" applyFill="1" applyBorder="1"/>
    <xf numFmtId="3" fontId="54" fillId="35" borderId="12" xfId="0" applyNumberFormat="1" applyFont="1" applyFill="1" applyBorder="1"/>
    <xf numFmtId="0" fontId="58" fillId="41" borderId="13" xfId="0" applyFont="1" applyFill="1" applyBorder="1"/>
    <xf numFmtId="3" fontId="58" fillId="41" borderId="14" xfId="0" applyNumberFormat="1" applyFont="1" applyFill="1" applyBorder="1"/>
    <xf numFmtId="3" fontId="58" fillId="41" borderId="29" xfId="0" applyNumberFormat="1" applyFont="1" applyFill="1" applyBorder="1"/>
    <xf numFmtId="0" fontId="54" fillId="41" borderId="15" xfId="0" applyFont="1" applyFill="1" applyBorder="1"/>
    <xf numFmtId="3" fontId="54" fillId="41" borderId="9" xfId="0" applyNumberFormat="1" applyFont="1" applyFill="1" applyBorder="1"/>
    <xf numFmtId="3" fontId="54" fillId="41" borderId="18" xfId="0" applyNumberFormat="1" applyFont="1" applyFill="1" applyBorder="1"/>
    <xf numFmtId="0" fontId="54" fillId="41" borderId="16" xfId="0" applyFont="1" applyFill="1" applyBorder="1"/>
    <xf numFmtId="3" fontId="54" fillId="41" borderId="11" xfId="0" applyNumberFormat="1" applyFont="1" applyFill="1" applyBorder="1"/>
    <xf numFmtId="3" fontId="54" fillId="41" borderId="12" xfId="0" applyNumberFormat="1" applyFont="1" applyFill="1" applyBorder="1"/>
    <xf numFmtId="0" fontId="58" fillId="47" borderId="13" xfId="0" applyFont="1" applyFill="1" applyBorder="1"/>
    <xf numFmtId="3" fontId="58" fillId="47" borderId="14" xfId="0" applyNumberFormat="1" applyFont="1" applyFill="1" applyBorder="1"/>
    <xf numFmtId="3" fontId="58" fillId="47" borderId="29" xfId="0" applyNumberFormat="1" applyFont="1" applyFill="1" applyBorder="1"/>
    <xf numFmtId="0" fontId="54" fillId="47" borderId="15" xfId="0" applyFont="1" applyFill="1" applyBorder="1"/>
    <xf numFmtId="3" fontId="54" fillId="47" borderId="9" xfId="0" applyNumberFormat="1" applyFont="1" applyFill="1" applyBorder="1"/>
    <xf numFmtId="3" fontId="54" fillId="47" borderId="18" xfId="0" applyNumberFormat="1" applyFont="1" applyFill="1" applyBorder="1"/>
    <xf numFmtId="0" fontId="54" fillId="47" borderId="28" xfId="0" applyFont="1" applyFill="1" applyBorder="1"/>
    <xf numFmtId="0" fontId="54" fillId="47" borderId="16" xfId="0" applyFont="1" applyFill="1" applyBorder="1"/>
    <xf numFmtId="3" fontId="54" fillId="47" borderId="11" xfId="0" applyNumberFormat="1" applyFont="1" applyFill="1" applyBorder="1"/>
    <xf numFmtId="3" fontId="54" fillId="47" borderId="12" xfId="0" applyNumberFormat="1" applyFont="1" applyFill="1" applyBorder="1"/>
    <xf numFmtId="0" fontId="58" fillId="48" borderId="13" xfId="0" applyFont="1" applyFill="1" applyBorder="1"/>
    <xf numFmtId="3" fontId="58" fillId="48" borderId="14" xfId="0" applyNumberFormat="1" applyFont="1" applyFill="1" applyBorder="1"/>
    <xf numFmtId="3" fontId="58" fillId="48" borderId="29" xfId="0" applyNumberFormat="1" applyFont="1" applyFill="1" applyBorder="1"/>
    <xf numFmtId="0" fontId="54" fillId="48" borderId="15" xfId="0" applyFont="1" applyFill="1" applyBorder="1"/>
    <xf numFmtId="3" fontId="54" fillId="48" borderId="9" xfId="0" applyNumberFormat="1" applyFont="1" applyFill="1" applyBorder="1"/>
    <xf numFmtId="3" fontId="54" fillId="48" borderId="18" xfId="0" applyNumberFormat="1" applyFont="1" applyFill="1" applyBorder="1"/>
    <xf numFmtId="0" fontId="58" fillId="49" borderId="13" xfId="0" applyFont="1" applyFill="1" applyBorder="1"/>
    <xf numFmtId="3" fontId="58" fillId="49" borderId="14" xfId="0" applyNumberFormat="1" applyFont="1" applyFill="1" applyBorder="1"/>
    <xf numFmtId="3" fontId="58" fillId="49" borderId="29" xfId="0" applyNumberFormat="1" applyFont="1" applyFill="1" applyBorder="1"/>
    <xf numFmtId="0" fontId="54" fillId="49" borderId="15" xfId="0" applyFont="1" applyFill="1" applyBorder="1"/>
    <xf numFmtId="3" fontId="54" fillId="49" borderId="9" xfId="0" applyNumberFormat="1" applyFont="1" applyFill="1" applyBorder="1"/>
    <xf numFmtId="3" fontId="54" fillId="49" borderId="18" xfId="0" applyNumberFormat="1" applyFont="1" applyFill="1" applyBorder="1"/>
    <xf numFmtId="0" fontId="54" fillId="49" borderId="28" xfId="0" applyFont="1" applyFill="1" applyBorder="1"/>
    <xf numFmtId="3" fontId="54" fillId="49" borderId="10" xfId="0" applyNumberFormat="1" applyFont="1" applyFill="1" applyBorder="1"/>
    <xf numFmtId="3" fontId="54" fillId="49" borderId="30" xfId="0" applyNumberFormat="1" applyFont="1" applyFill="1" applyBorder="1"/>
    <xf numFmtId="0" fontId="54" fillId="49" borderId="16" xfId="0" applyFont="1" applyFill="1" applyBorder="1"/>
    <xf numFmtId="3" fontId="54" fillId="49" borderId="11" xfId="0" applyNumberFormat="1" applyFont="1" applyFill="1" applyBorder="1"/>
    <xf numFmtId="3" fontId="54" fillId="49" borderId="12" xfId="0" applyNumberFormat="1" applyFont="1" applyFill="1" applyBorder="1"/>
    <xf numFmtId="0" fontId="54" fillId="28" borderId="15" xfId="0" applyFont="1" applyFill="1" applyBorder="1" applyAlignment="1">
      <alignment wrapText="1"/>
    </xf>
    <xf numFmtId="3" fontId="54" fillId="28" borderId="9" xfId="0" applyNumberFormat="1" applyFont="1" applyFill="1" applyBorder="1" applyAlignment="1">
      <alignment wrapText="1"/>
    </xf>
    <xf numFmtId="9" fontId="54" fillId="28" borderId="18" xfId="47" applyFont="1" applyFill="1" applyBorder="1" applyAlignment="1">
      <alignment wrapText="1"/>
    </xf>
    <xf numFmtId="3" fontId="54" fillId="28" borderId="9" xfId="47" applyNumberFormat="1" applyFont="1" applyFill="1" applyBorder="1" applyAlignment="1">
      <alignment wrapText="1"/>
    </xf>
    <xf numFmtId="0" fontId="54" fillId="31" borderId="15" xfId="0" applyFont="1" applyFill="1" applyBorder="1" applyAlignment="1">
      <alignment wrapText="1"/>
    </xf>
    <xf numFmtId="3" fontId="54" fillId="31" borderId="9" xfId="0" applyNumberFormat="1" applyFont="1" applyFill="1" applyBorder="1" applyAlignment="1">
      <alignment wrapText="1"/>
    </xf>
    <xf numFmtId="9" fontId="54" fillId="31" borderId="18" xfId="47" applyFont="1" applyFill="1" applyBorder="1" applyAlignment="1">
      <alignment wrapText="1"/>
    </xf>
    <xf numFmtId="3" fontId="54" fillId="31" borderId="9" xfId="47" applyNumberFormat="1" applyFont="1" applyFill="1" applyBorder="1" applyAlignment="1">
      <alignment wrapText="1"/>
    </xf>
    <xf numFmtId="0" fontId="54" fillId="35" borderId="15" xfId="0" applyFont="1" applyFill="1" applyBorder="1" applyAlignment="1">
      <alignment wrapText="1"/>
    </xf>
    <xf numFmtId="3" fontId="54" fillId="35" borderId="9" xfId="0" applyNumberFormat="1" applyFont="1" applyFill="1" applyBorder="1" applyAlignment="1">
      <alignment wrapText="1"/>
    </xf>
    <xf numFmtId="9" fontId="54" fillId="35" borderId="18" xfId="47" applyFont="1" applyFill="1" applyBorder="1" applyAlignment="1">
      <alignment wrapText="1"/>
    </xf>
    <xf numFmtId="3" fontId="54" fillId="35" borderId="9" xfId="47" applyNumberFormat="1" applyFont="1" applyFill="1" applyBorder="1" applyAlignment="1">
      <alignment wrapText="1"/>
    </xf>
    <xf numFmtId="0" fontId="54" fillId="41" borderId="15" xfId="0" applyFont="1" applyFill="1" applyBorder="1" applyAlignment="1">
      <alignment wrapText="1"/>
    </xf>
    <xf numFmtId="3" fontId="54" fillId="41" borderId="9" xfId="0" applyNumberFormat="1" applyFont="1" applyFill="1" applyBorder="1" applyAlignment="1">
      <alignment wrapText="1"/>
    </xf>
    <xf numFmtId="9" fontId="54" fillId="41" borderId="18" xfId="47" applyFont="1" applyFill="1" applyBorder="1" applyAlignment="1">
      <alignment wrapText="1"/>
    </xf>
    <xf numFmtId="3" fontId="54" fillId="41" borderId="9" xfId="47" applyNumberFormat="1" applyFont="1" applyFill="1" applyBorder="1" applyAlignment="1">
      <alignment wrapText="1"/>
    </xf>
    <xf numFmtId="3" fontId="54" fillId="47" borderId="9" xfId="47" applyNumberFormat="1" applyFont="1" applyFill="1" applyBorder="1" applyAlignment="1">
      <alignment wrapText="1"/>
    </xf>
    <xf numFmtId="9" fontId="54" fillId="47" borderId="18" xfId="47" applyFont="1" applyFill="1" applyBorder="1" applyAlignment="1">
      <alignment wrapText="1"/>
    </xf>
    <xf numFmtId="0" fontId="54" fillId="47" borderId="15" xfId="0" applyFont="1" applyFill="1" applyBorder="1" applyAlignment="1">
      <alignment wrapText="1"/>
    </xf>
    <xf numFmtId="3" fontId="54" fillId="47" borderId="9" xfId="0" applyNumberFormat="1" applyFont="1" applyFill="1" applyBorder="1" applyAlignment="1">
      <alignment wrapText="1"/>
    </xf>
    <xf numFmtId="0" fontId="54" fillId="48" borderId="15" xfId="0" applyFont="1" applyFill="1" applyBorder="1" applyAlignment="1">
      <alignment wrapText="1"/>
    </xf>
    <xf numFmtId="3" fontId="54" fillId="48" borderId="9" xfId="0" applyNumberFormat="1" applyFont="1" applyFill="1" applyBorder="1" applyAlignment="1">
      <alignment wrapText="1"/>
    </xf>
    <xf numFmtId="9" fontId="54" fillId="48" borderId="18" xfId="47" applyFont="1" applyFill="1" applyBorder="1" applyAlignment="1">
      <alignment wrapText="1"/>
    </xf>
    <xf numFmtId="3" fontId="54" fillId="48" borderId="9" xfId="47" applyNumberFormat="1" applyFont="1" applyFill="1" applyBorder="1" applyAlignment="1">
      <alignment wrapText="1"/>
    </xf>
    <xf numFmtId="0" fontId="54" fillId="49" borderId="15" xfId="0" applyFont="1" applyFill="1" applyBorder="1" applyAlignment="1">
      <alignment wrapText="1"/>
    </xf>
    <xf numFmtId="3" fontId="54" fillId="49" borderId="9" xfId="0" applyNumberFormat="1" applyFont="1" applyFill="1" applyBorder="1" applyAlignment="1">
      <alignment wrapText="1"/>
    </xf>
    <xf numFmtId="9" fontId="54" fillId="49" borderId="18" xfId="47" applyFont="1" applyFill="1" applyBorder="1" applyAlignment="1">
      <alignment wrapText="1"/>
    </xf>
    <xf numFmtId="3" fontId="54" fillId="49" borderId="9" xfId="47" applyNumberFormat="1" applyFont="1" applyFill="1" applyBorder="1" applyAlignment="1">
      <alignment wrapText="1"/>
    </xf>
    <xf numFmtId="0" fontId="69" fillId="50" borderId="16" xfId="0" applyFont="1" applyFill="1" applyBorder="1" applyAlignment="1">
      <alignment horizontal="center" wrapText="1"/>
    </xf>
    <xf numFmtId="3" fontId="69" fillId="50" borderId="11" xfId="0" applyNumberFormat="1" applyFont="1" applyFill="1" applyBorder="1" applyAlignment="1">
      <alignment wrapText="1"/>
    </xf>
    <xf numFmtId="9" fontId="58" fillId="50" borderId="12" xfId="47" applyFont="1" applyFill="1" applyBorder="1" applyAlignment="1">
      <alignment wrapText="1"/>
    </xf>
    <xf numFmtId="3" fontId="58" fillId="50" borderId="11" xfId="47" applyNumberFormat="1" applyFont="1" applyFill="1" applyBorder="1" applyAlignment="1">
      <alignment wrapText="1"/>
    </xf>
    <xf numFmtId="0" fontId="58" fillId="50" borderId="13" xfId="0" applyFont="1" applyFill="1" applyBorder="1" applyAlignment="1">
      <alignment horizontal="center"/>
    </xf>
    <xf numFmtId="0" fontId="54" fillId="50" borderId="18" xfId="0" applyFont="1" applyFill="1" applyBorder="1" applyAlignment="1">
      <alignment horizontal="center"/>
    </xf>
    <xf numFmtId="3" fontId="58" fillId="28" borderId="52" xfId="0" applyNumberFormat="1" applyFont="1" applyFill="1" applyBorder="1"/>
    <xf numFmtId="3" fontId="54" fillId="28" borderId="17" xfId="0" applyNumberFormat="1" applyFont="1" applyFill="1" applyBorder="1"/>
    <xf numFmtId="3" fontId="54" fillId="28" borderId="53" xfId="0" applyNumberFormat="1" applyFont="1" applyFill="1" applyBorder="1"/>
    <xf numFmtId="3" fontId="58" fillId="31" borderId="52" xfId="0" applyNumberFormat="1" applyFont="1" applyFill="1" applyBorder="1"/>
    <xf numFmtId="3" fontId="54" fillId="31" borderId="17" xfId="0" applyNumberFormat="1" applyFont="1" applyFill="1" applyBorder="1"/>
    <xf numFmtId="3" fontId="54" fillId="31" borderId="53" xfId="0" applyNumberFormat="1" applyFont="1" applyFill="1" applyBorder="1"/>
    <xf numFmtId="3" fontId="58" fillId="35" borderId="52" xfId="0" applyNumberFormat="1" applyFont="1" applyFill="1" applyBorder="1"/>
    <xf numFmtId="3" fontId="54" fillId="35" borderId="17" xfId="0" applyNumberFormat="1" applyFont="1" applyFill="1" applyBorder="1"/>
    <xf numFmtId="3" fontId="54" fillId="35" borderId="53" xfId="0" applyNumberFormat="1" applyFont="1" applyFill="1" applyBorder="1"/>
    <xf numFmtId="3" fontId="58" fillId="41" borderId="52" xfId="0" applyNumberFormat="1" applyFont="1" applyFill="1" applyBorder="1"/>
    <xf numFmtId="3" fontId="54" fillId="41" borderId="17" xfId="0" applyNumberFormat="1" applyFont="1" applyFill="1" applyBorder="1"/>
    <xf numFmtId="3" fontId="54" fillId="41" borderId="53" xfId="0" applyNumberFormat="1" applyFont="1" applyFill="1" applyBorder="1"/>
    <xf numFmtId="3" fontId="58" fillId="47" borderId="52" xfId="0" applyNumberFormat="1" applyFont="1" applyFill="1" applyBorder="1"/>
    <xf numFmtId="3" fontId="54" fillId="47" borderId="17" xfId="0" applyNumberFormat="1" applyFont="1" applyFill="1" applyBorder="1"/>
    <xf numFmtId="3" fontId="54" fillId="47" borderId="53" xfId="0" applyNumberFormat="1" applyFont="1" applyFill="1" applyBorder="1"/>
    <xf numFmtId="3" fontId="58" fillId="48" borderId="52" xfId="0" applyNumberFormat="1" applyFont="1" applyFill="1" applyBorder="1"/>
    <xf numFmtId="3" fontId="54" fillId="48" borderId="17" xfId="0" applyNumberFormat="1" applyFont="1" applyFill="1" applyBorder="1"/>
    <xf numFmtId="3" fontId="58" fillId="49" borderId="52" xfId="0" applyNumberFormat="1" applyFont="1" applyFill="1" applyBorder="1"/>
    <xf numFmtId="3" fontId="54" fillId="49" borderId="17" xfId="0" applyNumberFormat="1" applyFont="1" applyFill="1" applyBorder="1"/>
    <xf numFmtId="3" fontId="54" fillId="49" borderId="22" xfId="0" applyNumberFormat="1" applyFont="1" applyFill="1" applyBorder="1"/>
    <xf numFmtId="3" fontId="54" fillId="49" borderId="53" xfId="0" applyNumberFormat="1" applyFont="1" applyFill="1" applyBorder="1"/>
    <xf numFmtId="0" fontId="2" fillId="0" borderId="0" xfId="0" applyFont="1"/>
    <xf numFmtId="0" fontId="54" fillId="48" borderId="22" xfId="0" applyFont="1" applyFill="1" applyBorder="1"/>
    <xf numFmtId="0" fontId="54" fillId="48" borderId="23" xfId="0" applyFont="1" applyFill="1" applyBorder="1" applyAlignment="1">
      <alignment horizontal="center"/>
    </xf>
    <xf numFmtId="0" fontId="54" fillId="48" borderId="10" xfId="0" applyFont="1" applyFill="1" applyBorder="1" applyAlignment="1">
      <alignment horizontal="center"/>
    </xf>
    <xf numFmtId="3" fontId="54" fillId="48" borderId="10" xfId="0" applyNumberFormat="1" applyFont="1" applyFill="1" applyBorder="1" applyAlignment="1">
      <alignment horizontal="center"/>
    </xf>
    <xf numFmtId="0" fontId="45" fillId="23" borderId="9" xfId="0" applyFont="1" applyFill="1" applyBorder="1"/>
    <xf numFmtId="0" fontId="54" fillId="48" borderId="0" xfId="0" applyFont="1" applyFill="1"/>
    <xf numFmtId="3" fontId="54" fillId="48" borderId="0" xfId="0" applyNumberFormat="1" applyFont="1" applyFill="1"/>
    <xf numFmtId="169" fontId="2" fillId="23" borderId="9" xfId="0" applyNumberFormat="1" applyFont="1" applyFill="1" applyBorder="1"/>
    <xf numFmtId="0" fontId="0" fillId="0" borderId="0" xfId="0" applyAlignment="1">
      <alignment horizontal="center" vertical="center" wrapText="1"/>
    </xf>
    <xf numFmtId="0" fontId="0" fillId="26" borderId="9" xfId="0" applyFill="1" applyBorder="1" applyAlignment="1">
      <alignment horizontal="center" vertical="center"/>
    </xf>
    <xf numFmtId="11" fontId="0" fillId="26" borderId="9" xfId="0" applyNumberFormat="1" applyFill="1" applyBorder="1" applyAlignment="1">
      <alignment horizontal="center" vertical="center"/>
    </xf>
    <xf numFmtId="0" fontId="0" fillId="0" borderId="0" xfId="0" applyAlignment="1">
      <alignment horizontal="center" vertical="center"/>
    </xf>
    <xf numFmtId="9" fontId="0" fillId="26" borderId="9" xfId="47" applyFont="1" applyFill="1" applyBorder="1" applyAlignment="1">
      <alignment horizontal="center"/>
    </xf>
    <xf numFmtId="9" fontId="0" fillId="0" borderId="0" xfId="47" applyFont="1" applyAlignment="1">
      <alignment horizontal="center"/>
    </xf>
    <xf numFmtId="0" fontId="54" fillId="50" borderId="9" xfId="0" applyFont="1" applyFill="1" applyBorder="1" applyAlignment="1">
      <alignment horizontal="right" vertical="center" wrapText="1"/>
    </xf>
    <xf numFmtId="0" fontId="0" fillId="26" borderId="9" xfId="0" applyFill="1" applyBorder="1" applyAlignment="1">
      <alignment horizontal="right"/>
    </xf>
    <xf numFmtId="0" fontId="0" fillId="0" borderId="0" xfId="0" applyAlignment="1">
      <alignment horizontal="right"/>
    </xf>
    <xf numFmtId="0" fontId="0" fillId="60" borderId="9" xfId="0" applyFill="1" applyBorder="1"/>
    <xf numFmtId="0" fontId="0" fillId="60" borderId="9" xfId="0" applyFill="1" applyBorder="1" applyAlignment="1">
      <alignment horizontal="center" vertical="center"/>
    </xf>
    <xf numFmtId="9" fontId="0" fillId="60" borderId="9" xfId="47" applyFont="1" applyFill="1" applyBorder="1" applyAlignment="1">
      <alignment horizontal="center"/>
    </xf>
    <xf numFmtId="14" fontId="0" fillId="60" borderId="9" xfId="0" applyNumberFormat="1" applyFill="1" applyBorder="1"/>
    <xf numFmtId="17" fontId="0" fillId="60" borderId="9" xfId="0" applyNumberFormat="1" applyFill="1" applyBorder="1"/>
    <xf numFmtId="0" fontId="0" fillId="60" borderId="9" xfId="0" applyFill="1" applyBorder="1" applyAlignment="1">
      <alignment horizontal="right"/>
    </xf>
    <xf numFmtId="0" fontId="0" fillId="60" borderId="9" xfId="0" applyFill="1" applyBorder="1" applyAlignment="1">
      <alignment horizontal="left"/>
    </xf>
    <xf numFmtId="0" fontId="0" fillId="23" borderId="9" xfId="0" applyFill="1" applyBorder="1" applyAlignment="1">
      <alignment wrapText="1"/>
    </xf>
    <xf numFmtId="3" fontId="70" fillId="61" borderId="54" xfId="0" applyNumberFormat="1" applyFont="1" applyFill="1" applyBorder="1" applyAlignment="1">
      <alignment vertical="center"/>
    </xf>
    <xf numFmtId="3" fontId="71" fillId="23" borderId="9" xfId="46" applyNumberFormat="1" applyFont="1" applyFill="1" applyBorder="1"/>
    <xf numFmtId="3" fontId="71" fillId="26" borderId="9" xfId="46" applyNumberFormat="1" applyFont="1" applyFill="1" applyBorder="1"/>
    <xf numFmtId="3" fontId="71" fillId="23" borderId="19" xfId="0" applyNumberFormat="1" applyFont="1" applyFill="1" applyBorder="1"/>
    <xf numFmtId="3" fontId="71" fillId="26" borderId="9" xfId="0" applyNumberFormat="1" applyFont="1" applyFill="1" applyBorder="1"/>
    <xf numFmtId="3" fontId="71" fillId="26" borderId="31" xfId="0" applyNumberFormat="1" applyFont="1" applyFill="1" applyBorder="1"/>
    <xf numFmtId="169" fontId="71" fillId="23" borderId="9" xfId="0" applyNumberFormat="1" applyFont="1" applyFill="1" applyBorder="1"/>
    <xf numFmtId="169" fontId="71" fillId="26" borderId="9" xfId="0" applyNumberFormat="1" applyFont="1" applyFill="1" applyBorder="1"/>
    <xf numFmtId="3" fontId="71" fillId="23" borderId="9" xfId="0" applyNumberFormat="1" applyFont="1" applyFill="1" applyBorder="1"/>
    <xf numFmtId="4" fontId="71" fillId="23" borderId="9" xfId="0" applyNumberFormat="1" applyFont="1" applyFill="1" applyBorder="1"/>
    <xf numFmtId="164" fontId="71" fillId="26" borderId="9" xfId="0" applyNumberFormat="1" applyFont="1" applyFill="1" applyBorder="1"/>
    <xf numFmtId="176" fontId="71" fillId="26" borderId="9" xfId="0" applyNumberFormat="1" applyFont="1" applyFill="1" applyBorder="1"/>
    <xf numFmtId="4" fontId="67" fillId="23" borderId="19" xfId="0" applyNumberFormat="1" applyFont="1" applyFill="1" applyBorder="1"/>
    <xf numFmtId="3" fontId="71" fillId="26" borderId="10" xfId="0" applyNumberFormat="1" applyFont="1" applyFill="1" applyBorder="1"/>
    <xf numFmtId="0" fontId="67" fillId="23" borderId="9" xfId="0" applyFont="1" applyFill="1" applyBorder="1"/>
    <xf numFmtId="0" fontId="13" fillId="60" borderId="9" xfId="42" applyFill="1" applyBorder="1" applyAlignment="1" applyProtection="1"/>
    <xf numFmtId="11" fontId="0" fillId="60" borderId="9" xfId="0" applyNumberFormat="1" applyFill="1" applyBorder="1" applyAlignment="1">
      <alignment horizontal="center" vertical="center"/>
    </xf>
    <xf numFmtId="166" fontId="0" fillId="60" borderId="9" xfId="46" applyNumberFormat="1" applyFont="1" applyFill="1" applyBorder="1" applyAlignment="1">
      <alignment horizontal="left"/>
    </xf>
    <xf numFmtId="166" fontId="0" fillId="60" borderId="9" xfId="46" applyNumberFormat="1" applyFont="1" applyFill="1" applyBorder="1"/>
    <xf numFmtId="0" fontId="6" fillId="60" borderId="9" xfId="45" applyFont="1" applyFill="1" applyBorder="1" applyAlignment="1">
      <alignment horizontal="left"/>
    </xf>
    <xf numFmtId="2" fontId="0" fillId="60" borderId="9" xfId="0" applyNumberFormat="1" applyFill="1" applyBorder="1" applyAlignment="1">
      <alignment horizontal="center" vertical="center"/>
    </xf>
    <xf numFmtId="0" fontId="73" fillId="62" borderId="54" xfId="0" applyFont="1" applyFill="1" applyBorder="1"/>
    <xf numFmtId="3" fontId="0" fillId="60" borderId="9" xfId="0" applyNumberFormat="1" applyFill="1" applyBorder="1"/>
    <xf numFmtId="3" fontId="73" fillId="62" borderId="54" xfId="0" applyNumberFormat="1" applyFont="1" applyFill="1" applyBorder="1"/>
    <xf numFmtId="0" fontId="73" fillId="60" borderId="54" xfId="0" applyFont="1" applyFill="1" applyBorder="1" applyAlignment="1">
      <alignment horizontal="center"/>
    </xf>
    <xf numFmtId="0" fontId="73" fillId="60" borderId="54" xfId="0" applyFont="1" applyFill="1" applyBorder="1"/>
    <xf numFmtId="9" fontId="73" fillId="60" borderId="54" xfId="0" applyNumberFormat="1" applyFont="1" applyFill="1" applyBorder="1" applyAlignment="1">
      <alignment horizontal="center"/>
    </xf>
    <xf numFmtId="14" fontId="73" fillId="60" borderId="54" xfId="0" applyNumberFormat="1" applyFont="1" applyFill="1" applyBorder="1"/>
    <xf numFmtId="17" fontId="73" fillId="60" borderId="54" xfId="0" applyNumberFormat="1" applyFont="1" applyFill="1" applyBorder="1"/>
    <xf numFmtId="0" fontId="0" fillId="60" borderId="9" xfId="0" applyFill="1" applyBorder="1" applyAlignment="1">
      <alignment wrapText="1"/>
    </xf>
    <xf numFmtId="9" fontId="4" fillId="60" borderId="9" xfId="47" applyFont="1" applyFill="1" applyBorder="1" applyAlignment="1">
      <alignment horizontal="center"/>
    </xf>
    <xf numFmtId="0" fontId="0" fillId="25" borderId="9" xfId="0" applyFill="1" applyBorder="1"/>
    <xf numFmtId="9" fontId="0" fillId="25" borderId="9" xfId="47" applyFont="1" applyFill="1" applyBorder="1" applyAlignment="1">
      <alignment horizontal="center"/>
    </xf>
    <xf numFmtId="14" fontId="0" fillId="25" borderId="9" xfId="0" applyNumberFormat="1" applyFill="1" applyBorder="1"/>
    <xf numFmtId="17" fontId="0" fillId="25" borderId="9" xfId="0" applyNumberFormat="1" applyFill="1" applyBorder="1"/>
    <xf numFmtId="0" fontId="0" fillId="25" borderId="9" xfId="0" applyFill="1" applyBorder="1" applyAlignment="1">
      <alignment horizontal="right"/>
    </xf>
    <xf numFmtId="0" fontId="51" fillId="26" borderId="0" xfId="0" applyFont="1" applyFill="1" applyAlignment="1">
      <alignment horizontal="left" vertical="center" wrapText="1"/>
    </xf>
    <xf numFmtId="0" fontId="66" fillId="50" borderId="44" xfId="0" applyFont="1" applyFill="1" applyBorder="1" applyAlignment="1">
      <alignment horizontal="center" vertical="center" wrapText="1"/>
    </xf>
    <xf numFmtId="0" fontId="66" fillId="50" borderId="45" xfId="0" applyFont="1" applyFill="1" applyBorder="1" applyAlignment="1">
      <alignment horizontal="center" vertical="center" wrapText="1"/>
    </xf>
    <xf numFmtId="0" fontId="66" fillId="50" borderId="46" xfId="0" applyFont="1" applyFill="1" applyBorder="1" applyAlignment="1">
      <alignment horizontal="center" vertical="center" wrapText="1"/>
    </xf>
    <xf numFmtId="0" fontId="66" fillId="50" borderId="47" xfId="0" applyFont="1" applyFill="1" applyBorder="1" applyAlignment="1">
      <alignment horizontal="center" vertical="center" wrapText="1"/>
    </xf>
    <xf numFmtId="0" fontId="66" fillId="50" borderId="0" xfId="0" applyFont="1" applyFill="1" applyAlignment="1">
      <alignment horizontal="center" vertical="center" wrapText="1"/>
    </xf>
    <xf numFmtId="0" fontId="66" fillId="50" borderId="48" xfId="0" applyFont="1" applyFill="1" applyBorder="1" applyAlignment="1">
      <alignment horizontal="center" vertical="center" wrapText="1"/>
    </xf>
    <xf numFmtId="0" fontId="2" fillId="23" borderId="24" xfId="0" applyFont="1" applyFill="1" applyBorder="1" applyAlignment="1">
      <alignment horizontal="left"/>
    </xf>
    <xf numFmtId="0" fontId="54" fillId="50" borderId="9" xfId="0" applyFont="1" applyFill="1" applyBorder="1" applyAlignment="1">
      <alignment horizontal="center"/>
    </xf>
    <xf numFmtId="0" fontId="0" fillId="26" borderId="17" xfId="0" applyFill="1" applyBorder="1" applyAlignment="1">
      <alignment horizontal="center" vertical="center" wrapText="1"/>
    </xf>
    <xf numFmtId="0" fontId="0" fillId="26" borderId="19" xfId="0" applyFill="1" applyBorder="1" applyAlignment="1">
      <alignment horizontal="center" vertical="center" wrapText="1"/>
    </xf>
    <xf numFmtId="0" fontId="0" fillId="26" borderId="20" xfId="0" applyFill="1" applyBorder="1" applyAlignment="1">
      <alignment horizontal="center" vertical="center" wrapText="1"/>
    </xf>
    <xf numFmtId="0" fontId="60" fillId="50" borderId="32" xfId="42" applyFont="1" applyFill="1" applyBorder="1" applyAlignment="1" applyProtection="1">
      <alignment horizontal="center" vertical="center" wrapText="1"/>
    </xf>
    <xf numFmtId="0" fontId="60" fillId="50" borderId="0" xfId="42" applyFont="1" applyFill="1" applyBorder="1" applyAlignment="1" applyProtection="1">
      <alignment horizontal="center" vertical="center" wrapText="1"/>
    </xf>
    <xf numFmtId="0" fontId="54" fillId="50" borderId="10" xfId="0" applyFont="1" applyFill="1" applyBorder="1" applyAlignment="1">
      <alignment horizontal="center" vertical="center"/>
    </xf>
    <xf numFmtId="0" fontId="54" fillId="50" borderId="25" xfId="0" applyFont="1" applyFill="1" applyBorder="1" applyAlignment="1">
      <alignment horizontal="center" vertical="center"/>
    </xf>
    <xf numFmtId="0" fontId="54" fillId="50" borderId="26" xfId="0" applyFont="1" applyFill="1" applyBorder="1" applyAlignment="1">
      <alignment horizontal="center" vertical="center"/>
    </xf>
    <xf numFmtId="0" fontId="54" fillId="50" borderId="10" xfId="0" applyFont="1" applyFill="1" applyBorder="1" applyAlignment="1">
      <alignment horizontal="center" vertical="center" wrapText="1"/>
    </xf>
    <xf numFmtId="0" fontId="54" fillId="50" borderId="25" xfId="0" applyFont="1" applyFill="1" applyBorder="1" applyAlignment="1">
      <alignment horizontal="center" vertical="center" wrapText="1"/>
    </xf>
    <xf numFmtId="0" fontId="54" fillId="50" borderId="26" xfId="0" applyFont="1" applyFill="1" applyBorder="1" applyAlignment="1">
      <alignment horizontal="center" vertical="center" wrapText="1"/>
    </xf>
    <xf numFmtId="3" fontId="58" fillId="50" borderId="9" xfId="0" applyNumberFormat="1" applyFont="1" applyFill="1" applyBorder="1" applyAlignment="1">
      <alignment horizontal="center" vertical="center" wrapText="1"/>
    </xf>
    <xf numFmtId="3" fontId="58" fillId="50" borderId="10" xfId="0" applyNumberFormat="1" applyFont="1" applyFill="1" applyBorder="1" applyAlignment="1">
      <alignment horizontal="center" vertical="center" wrapText="1"/>
    </xf>
    <xf numFmtId="3" fontId="58" fillId="50" borderId="25" xfId="0" applyNumberFormat="1" applyFont="1" applyFill="1" applyBorder="1" applyAlignment="1">
      <alignment horizontal="center" vertical="center" wrapText="1"/>
    </xf>
    <xf numFmtId="3" fontId="58" fillId="50" borderId="26" xfId="0" applyNumberFormat="1" applyFont="1" applyFill="1" applyBorder="1" applyAlignment="1">
      <alignment horizontal="center" vertical="center" wrapText="1"/>
    </xf>
    <xf numFmtId="0" fontId="4" fillId="23" borderId="17" xfId="0" applyFont="1" applyFill="1" applyBorder="1"/>
    <xf numFmtId="0" fontId="0" fillId="0" borderId="19" xfId="0" applyBorder="1"/>
    <xf numFmtId="0" fontId="2" fillId="23" borderId="0" xfId="0" applyFont="1" applyFill="1" applyAlignment="1">
      <alignment horizontal="left"/>
    </xf>
    <xf numFmtId="0" fontId="0" fillId="23" borderId="0" xfId="0" applyFill="1"/>
    <xf numFmtId="0" fontId="65" fillId="23" borderId="0" xfId="0" applyFont="1" applyFill="1" applyAlignment="1">
      <alignment horizontal="center"/>
    </xf>
    <xf numFmtId="0" fontId="56" fillId="35" borderId="0" xfId="0" applyFont="1" applyFill="1" applyAlignment="1">
      <alignment horizontal="center"/>
    </xf>
    <xf numFmtId="0" fontId="57" fillId="35" borderId="0" xfId="0" applyFont="1" applyFill="1"/>
    <xf numFmtId="166" fontId="54" fillId="50" borderId="9" xfId="46" applyNumberFormat="1" applyFont="1" applyFill="1" applyBorder="1" applyAlignment="1">
      <alignment horizontal="center"/>
    </xf>
    <xf numFmtId="0" fontId="58" fillId="50" borderId="9" xfId="0" applyFont="1" applyFill="1" applyBorder="1" applyAlignment="1">
      <alignment horizontal="center"/>
    </xf>
    <xf numFmtId="0" fontId="56" fillId="50" borderId="0" xfId="0" applyFont="1" applyFill="1" applyAlignment="1">
      <alignment horizontal="center"/>
    </xf>
    <xf numFmtId="0" fontId="7" fillId="23" borderId="0" xfId="0" applyFont="1" applyFill="1" applyAlignment="1">
      <alignment horizontal="center"/>
    </xf>
    <xf numFmtId="0" fontId="39" fillId="23" borderId="0" xfId="0" applyFont="1" applyFill="1" applyAlignment="1">
      <alignment horizontal="center"/>
    </xf>
    <xf numFmtId="0" fontId="56" fillId="28" borderId="0" xfId="0" applyFont="1" applyFill="1" applyAlignment="1">
      <alignment horizontal="center"/>
    </xf>
    <xf numFmtId="0" fontId="2" fillId="0" borderId="9" xfId="0" applyFont="1" applyBorder="1" applyAlignment="1">
      <alignment horizontal="center"/>
    </xf>
    <xf numFmtId="0" fontId="58" fillId="50" borderId="9" xfId="0" applyFont="1" applyFill="1" applyBorder="1" applyAlignment="1">
      <alignment horizontal="center" vertical="center" wrapText="1"/>
    </xf>
    <xf numFmtId="0" fontId="58" fillId="50" borderId="17" xfId="0" applyFont="1" applyFill="1" applyBorder="1" applyAlignment="1">
      <alignment horizontal="center"/>
    </xf>
    <xf numFmtId="0" fontId="58" fillId="50" borderId="19" xfId="0" applyFont="1" applyFill="1" applyBorder="1" applyAlignment="1">
      <alignment horizontal="center"/>
    </xf>
    <xf numFmtId="0" fontId="58" fillId="50" borderId="20" xfId="0" applyFont="1" applyFill="1" applyBorder="1" applyAlignment="1">
      <alignment horizontal="center"/>
    </xf>
    <xf numFmtId="0" fontId="2" fillId="23" borderId="0" xfId="0" applyFont="1" applyFill="1"/>
    <xf numFmtId="0" fontId="54" fillId="50" borderId="9" xfId="0" applyFont="1" applyFill="1" applyBorder="1" applyAlignment="1">
      <alignment horizontal="center" vertical="center" wrapText="1"/>
    </xf>
    <xf numFmtId="0" fontId="54" fillId="50" borderId="17" xfId="0" applyFont="1" applyFill="1" applyBorder="1" applyAlignment="1">
      <alignment horizontal="center" vertical="center" wrapText="1"/>
    </xf>
    <xf numFmtId="0" fontId="54" fillId="50" borderId="19" xfId="0" applyFont="1" applyFill="1" applyBorder="1" applyAlignment="1">
      <alignment horizontal="center" vertical="center" wrapText="1"/>
    </xf>
    <xf numFmtId="0" fontId="54" fillId="50" borderId="20" xfId="0" applyFont="1" applyFill="1" applyBorder="1" applyAlignment="1">
      <alignment horizontal="center" vertical="center" wrapText="1"/>
    </xf>
    <xf numFmtId="0" fontId="0" fillId="23" borderId="9" xfId="0" applyFill="1" applyBorder="1" applyAlignment="1">
      <alignment horizontal="center"/>
    </xf>
    <xf numFmtId="0" fontId="0" fillId="0" borderId="9" xfId="0" applyBorder="1" applyAlignment="1">
      <alignment horizontal="center"/>
    </xf>
    <xf numFmtId="0" fontId="0" fillId="23" borderId="17" xfId="0" applyFill="1" applyBorder="1" applyAlignment="1">
      <alignment horizontal="center"/>
    </xf>
    <xf numFmtId="0" fontId="0" fillId="23" borderId="19" xfId="0" applyFill="1" applyBorder="1" applyAlignment="1">
      <alignment horizontal="center"/>
    </xf>
    <xf numFmtId="0" fontId="0" fillId="23" borderId="20" xfId="0" applyFill="1" applyBorder="1" applyAlignment="1">
      <alignment horizontal="center"/>
    </xf>
    <xf numFmtId="0" fontId="0" fillId="26" borderId="22" xfId="0" applyFill="1" applyBorder="1" applyAlignment="1">
      <alignment horizontal="left" vertical="center" wrapText="1"/>
    </xf>
    <xf numFmtId="0" fontId="4" fillId="26" borderId="31" xfId="0" applyFont="1" applyFill="1" applyBorder="1" applyAlignment="1">
      <alignment horizontal="left" vertical="center" wrapText="1"/>
    </xf>
    <xf numFmtId="0" fontId="4" fillId="26" borderId="23" xfId="0" applyFont="1" applyFill="1" applyBorder="1" applyAlignment="1">
      <alignment horizontal="left" vertical="center" wrapText="1"/>
    </xf>
    <xf numFmtId="0" fontId="4" fillId="26" borderId="32" xfId="0" applyFont="1" applyFill="1" applyBorder="1" applyAlignment="1">
      <alignment horizontal="left" vertical="center" wrapText="1"/>
    </xf>
    <xf numFmtId="0" fontId="4" fillId="26" borderId="0" xfId="0" applyFont="1" applyFill="1" applyAlignment="1">
      <alignment horizontal="left" vertical="center" wrapText="1"/>
    </xf>
    <xf numFmtId="0" fontId="4" fillId="26" borderId="33" xfId="0" applyFont="1" applyFill="1" applyBorder="1" applyAlignment="1">
      <alignment horizontal="left" vertical="center" wrapText="1"/>
    </xf>
    <xf numFmtId="0" fontId="4" fillId="26" borderId="27" xfId="0" applyFont="1" applyFill="1" applyBorder="1" applyAlignment="1">
      <alignment horizontal="left" vertical="center" wrapText="1"/>
    </xf>
    <xf numFmtId="0" fontId="4" fillId="26" borderId="24" xfId="0" applyFont="1" applyFill="1" applyBorder="1" applyAlignment="1">
      <alignment horizontal="left" vertical="center" wrapText="1"/>
    </xf>
    <xf numFmtId="0" fontId="4" fillId="26" borderId="21" xfId="0" applyFont="1" applyFill="1" applyBorder="1" applyAlignment="1">
      <alignment horizontal="left" vertical="center" wrapText="1"/>
    </xf>
    <xf numFmtId="0" fontId="54" fillId="50" borderId="9" xfId="0" applyFont="1" applyFill="1" applyBorder="1" applyAlignment="1">
      <alignment horizontal="center" vertical="center"/>
    </xf>
    <xf numFmtId="0" fontId="68" fillId="23" borderId="0" xfId="0" applyFont="1" applyFill="1" applyAlignment="1">
      <alignment horizontal="left"/>
    </xf>
    <xf numFmtId="0" fontId="54" fillId="50" borderId="17" xfId="0" applyFont="1" applyFill="1" applyBorder="1" applyAlignment="1">
      <alignment horizontal="center"/>
    </xf>
    <xf numFmtId="0" fontId="54" fillId="50" borderId="19" xfId="0" applyFont="1" applyFill="1" applyBorder="1" applyAlignment="1">
      <alignment horizontal="center"/>
    </xf>
    <xf numFmtId="0" fontId="54" fillId="50" borderId="20" xfId="0" applyFont="1" applyFill="1" applyBorder="1" applyAlignment="1">
      <alignment horizontal="center"/>
    </xf>
    <xf numFmtId="0" fontId="0" fillId="26" borderId="31" xfId="0" applyFill="1" applyBorder="1" applyAlignment="1">
      <alignment horizontal="left" vertical="center" wrapText="1"/>
    </xf>
    <xf numFmtId="0" fontId="0" fillId="26" borderId="23" xfId="0" applyFill="1" applyBorder="1" applyAlignment="1">
      <alignment horizontal="left" vertical="center" wrapText="1"/>
    </xf>
    <xf numFmtId="0" fontId="0" fillId="26" borderId="32" xfId="0" applyFill="1" applyBorder="1" applyAlignment="1">
      <alignment horizontal="left" vertical="center" wrapText="1"/>
    </xf>
    <xf numFmtId="0" fontId="0" fillId="26" borderId="0" xfId="0" applyFill="1" applyAlignment="1">
      <alignment horizontal="left" vertical="center" wrapText="1"/>
    </xf>
    <xf numFmtId="0" fontId="0" fillId="26" borderId="33" xfId="0" applyFill="1" applyBorder="1" applyAlignment="1">
      <alignment horizontal="left" vertical="center" wrapText="1"/>
    </xf>
    <xf numFmtId="0" fontId="0" fillId="26" borderId="27" xfId="0" applyFill="1" applyBorder="1" applyAlignment="1">
      <alignment horizontal="left" vertical="center" wrapText="1"/>
    </xf>
    <xf numFmtId="0" fontId="0" fillId="26" borderId="24" xfId="0" applyFill="1" applyBorder="1" applyAlignment="1">
      <alignment horizontal="left" vertical="center" wrapText="1"/>
    </xf>
    <xf numFmtId="0" fontId="0" fillId="26" borderId="21" xfId="0" applyFill="1" applyBorder="1" applyAlignment="1">
      <alignment horizontal="left" vertical="center" wrapText="1"/>
    </xf>
    <xf numFmtId="0" fontId="2" fillId="23" borderId="9" xfId="0" applyFont="1" applyFill="1" applyBorder="1" applyAlignment="1">
      <alignment horizontal="center"/>
    </xf>
    <xf numFmtId="0" fontId="0" fillId="50" borderId="10" xfId="0" applyFill="1" applyBorder="1" applyAlignment="1">
      <alignment horizontal="center"/>
    </xf>
    <xf numFmtId="0" fontId="0" fillId="50" borderId="25" xfId="0" applyFill="1" applyBorder="1" applyAlignment="1">
      <alignment horizontal="center"/>
    </xf>
    <xf numFmtId="0" fontId="0" fillId="50" borderId="26" xfId="0" applyFill="1" applyBorder="1" applyAlignment="1">
      <alignment horizontal="center"/>
    </xf>
    <xf numFmtId="0" fontId="58" fillId="50" borderId="27" xfId="0" applyFont="1" applyFill="1" applyBorder="1" applyAlignment="1">
      <alignment horizontal="center"/>
    </xf>
    <xf numFmtId="0" fontId="58" fillId="50" borderId="24" xfId="0" applyFont="1" applyFill="1" applyBorder="1" applyAlignment="1">
      <alignment horizontal="center"/>
    </xf>
    <xf numFmtId="0" fontId="56" fillId="41" borderId="0" xfId="0" applyFont="1" applyFill="1" applyAlignment="1">
      <alignment horizontal="center"/>
    </xf>
    <xf numFmtId="0" fontId="58" fillId="50" borderId="9" xfId="46" applyFont="1" applyFill="1" applyBorder="1" applyAlignment="1">
      <alignment horizontal="center"/>
    </xf>
    <xf numFmtId="0" fontId="4" fillId="23" borderId="19" xfId="0" applyFont="1" applyFill="1" applyBorder="1"/>
    <xf numFmtId="0" fontId="57" fillId="50" borderId="0" xfId="0" applyFont="1" applyFill="1"/>
    <xf numFmtId="0" fontId="64" fillId="23" borderId="0" xfId="0" applyFont="1" applyFill="1" applyAlignment="1">
      <alignment horizontal="center"/>
    </xf>
    <xf numFmtId="0" fontId="67" fillId="23" borderId="17" xfId="0" applyFont="1" applyFill="1" applyBorder="1"/>
    <xf numFmtId="0" fontId="67" fillId="0" borderId="19" xfId="0" applyFont="1" applyBorder="1"/>
    <xf numFmtId="0" fontId="56" fillId="49" borderId="0" xfId="0" applyFont="1" applyFill="1" applyAlignment="1">
      <alignment horizontal="center"/>
    </xf>
    <xf numFmtId="0" fontId="57" fillId="49" borderId="0" xfId="0" applyFont="1" applyFill="1"/>
    <xf numFmtId="0" fontId="62" fillId="23" borderId="0" xfId="0" applyFont="1" applyFill="1" applyAlignment="1">
      <alignment horizontal="center"/>
    </xf>
    <xf numFmtId="0" fontId="61" fillId="23" borderId="0" xfId="0" applyFont="1" applyFill="1" applyAlignment="1">
      <alignment horizontal="center"/>
    </xf>
    <xf numFmtId="0" fontId="4" fillId="23" borderId="9" xfId="0" applyFont="1" applyFill="1" applyBorder="1"/>
    <xf numFmtId="0" fontId="0" fillId="0" borderId="9" xfId="0" applyBorder="1"/>
    <xf numFmtId="0" fontId="56" fillId="48" borderId="0" xfId="0" applyFont="1" applyFill="1" applyAlignment="1">
      <alignment horizontal="center"/>
    </xf>
    <xf numFmtId="0" fontId="57" fillId="48" borderId="0" xfId="0" applyFont="1" applyFill="1"/>
    <xf numFmtId="0" fontId="54" fillId="50" borderId="9" xfId="46" applyFont="1" applyFill="1" applyBorder="1" applyAlignment="1">
      <alignment horizontal="center"/>
    </xf>
    <xf numFmtId="0" fontId="63" fillId="23" borderId="0" xfId="0" applyFont="1" applyFill="1" applyAlignment="1">
      <alignment horizontal="center"/>
    </xf>
    <xf numFmtId="0" fontId="56" fillId="47" borderId="0" xfId="0" applyFont="1" applyFill="1" applyAlignment="1">
      <alignment horizontal="center"/>
    </xf>
    <xf numFmtId="0" fontId="57" fillId="47" borderId="0" xfId="0" applyFont="1" applyFill="1"/>
    <xf numFmtId="166" fontId="54" fillId="50" borderId="10" xfId="46" applyNumberFormat="1" applyFont="1" applyFill="1" applyBorder="1" applyAlignment="1">
      <alignment horizontal="center" vertical="center"/>
    </xf>
    <xf numFmtId="166" fontId="54" fillId="50" borderId="26" xfId="46" applyNumberFormat="1" applyFont="1" applyFill="1" applyBorder="1" applyAlignment="1">
      <alignment horizontal="center" vertical="center"/>
    </xf>
    <xf numFmtId="3" fontId="54" fillId="50" borderId="10" xfId="46" applyNumberFormat="1" applyFont="1" applyFill="1" applyBorder="1" applyAlignment="1">
      <alignment horizontal="center" wrapText="1"/>
    </xf>
    <xf numFmtId="3" fontId="54" fillId="50" borderId="26" xfId="46" applyNumberFormat="1" applyFont="1" applyFill="1" applyBorder="1" applyAlignment="1">
      <alignment horizontal="center" wrapText="1"/>
    </xf>
    <xf numFmtId="3" fontId="54" fillId="50" borderId="10" xfId="0" applyNumberFormat="1" applyFont="1" applyFill="1" applyBorder="1" applyAlignment="1">
      <alignment horizontal="center" vertical="center" wrapText="1"/>
    </xf>
    <xf numFmtId="3" fontId="54" fillId="50" borderId="26" xfId="0" applyNumberFormat="1" applyFont="1" applyFill="1" applyBorder="1" applyAlignment="1">
      <alignment horizontal="center" vertical="center" wrapText="1"/>
    </xf>
    <xf numFmtId="0" fontId="54" fillId="50" borderId="10" xfId="46" applyFont="1" applyFill="1" applyBorder="1" applyAlignment="1">
      <alignment horizontal="center" vertical="center"/>
    </xf>
    <xf numFmtId="0" fontId="54" fillId="50" borderId="26" xfId="46" applyFont="1" applyFill="1" applyBorder="1" applyAlignment="1">
      <alignment horizontal="center" vertical="center"/>
    </xf>
    <xf numFmtId="3" fontId="54" fillId="50" borderId="10" xfId="46" applyNumberFormat="1" applyFont="1" applyFill="1" applyBorder="1" applyAlignment="1">
      <alignment horizontal="center" vertical="center"/>
    </xf>
    <xf numFmtId="3" fontId="54" fillId="50" borderId="26" xfId="46" applyNumberFormat="1" applyFont="1" applyFill="1" applyBorder="1" applyAlignment="1">
      <alignment horizontal="center" vertical="center"/>
    </xf>
    <xf numFmtId="3" fontId="54" fillId="50" borderId="10" xfId="46" applyNumberFormat="1" applyFont="1" applyFill="1" applyBorder="1" applyAlignment="1">
      <alignment horizontal="center" vertical="center" wrapText="1"/>
    </xf>
    <xf numFmtId="3" fontId="54" fillId="50" borderId="26" xfId="46" applyNumberFormat="1" applyFont="1" applyFill="1" applyBorder="1" applyAlignment="1">
      <alignment horizontal="center" vertical="center" wrapText="1"/>
    </xf>
    <xf numFmtId="3" fontId="54" fillId="50" borderId="10" xfId="0" applyNumberFormat="1" applyFont="1" applyFill="1" applyBorder="1" applyAlignment="1">
      <alignment horizontal="center" wrapText="1"/>
    </xf>
    <xf numFmtId="3" fontId="54" fillId="50" borderId="26" xfId="0" applyNumberFormat="1" applyFont="1" applyFill="1" applyBorder="1" applyAlignment="1">
      <alignment horizontal="center" wrapText="1"/>
    </xf>
    <xf numFmtId="0" fontId="54" fillId="31" borderId="22" xfId="0" applyFont="1" applyFill="1" applyBorder="1" applyAlignment="1">
      <alignment horizontal="center"/>
    </xf>
    <xf numFmtId="0" fontId="54" fillId="31" borderId="23" xfId="0" applyFont="1" applyFill="1" applyBorder="1" applyAlignment="1">
      <alignment horizontal="center"/>
    </xf>
    <xf numFmtId="0" fontId="54" fillId="28" borderId="22" xfId="0" applyFont="1" applyFill="1" applyBorder="1" applyAlignment="1">
      <alignment horizontal="left"/>
    </xf>
    <xf numFmtId="0" fontId="54" fillId="28" borderId="23" xfId="0" applyFont="1" applyFill="1" applyBorder="1" applyAlignment="1">
      <alignment horizontal="left"/>
    </xf>
    <xf numFmtId="0" fontId="45" fillId="23" borderId="9" xfId="0" applyFont="1" applyFill="1" applyBorder="1" applyAlignment="1">
      <alignment horizontal="left"/>
    </xf>
    <xf numFmtId="0" fontId="4" fillId="23" borderId="9" xfId="0" applyFont="1" applyFill="1" applyBorder="1" applyAlignment="1">
      <alignment horizontal="left"/>
    </xf>
    <xf numFmtId="0" fontId="54" fillId="50" borderId="17" xfId="46" applyFont="1" applyFill="1" applyBorder="1" applyAlignment="1">
      <alignment horizontal="center" vertical="center"/>
    </xf>
    <xf numFmtId="0" fontId="54" fillId="50" borderId="20" xfId="46" applyFont="1" applyFill="1" applyBorder="1" applyAlignment="1">
      <alignment horizontal="center" vertical="center"/>
    </xf>
    <xf numFmtId="0" fontId="58" fillId="50" borderId="17" xfId="46" applyFont="1" applyFill="1" applyBorder="1" applyAlignment="1">
      <alignment horizontal="center"/>
    </xf>
    <xf numFmtId="0" fontId="58" fillId="50" borderId="19" xfId="46" applyFont="1" applyFill="1" applyBorder="1" applyAlignment="1">
      <alignment horizontal="center"/>
    </xf>
    <xf numFmtId="0" fontId="58" fillId="50" borderId="20" xfId="46" applyFont="1" applyFill="1" applyBorder="1" applyAlignment="1">
      <alignment horizontal="center"/>
    </xf>
    <xf numFmtId="3" fontId="54" fillId="50" borderId="9" xfId="0" applyNumberFormat="1" applyFont="1" applyFill="1" applyBorder="1" applyAlignment="1">
      <alignment horizontal="center" vertical="center" wrapText="1"/>
    </xf>
    <xf numFmtId="0" fontId="54" fillId="50" borderId="27" xfId="0" applyFont="1" applyFill="1" applyBorder="1" applyAlignment="1">
      <alignment horizontal="center" vertical="center"/>
    </xf>
    <xf numFmtId="0" fontId="0" fillId="50" borderId="9" xfId="0" applyFill="1" applyBorder="1" applyAlignment="1">
      <alignment horizontal="center"/>
    </xf>
    <xf numFmtId="9" fontId="4" fillId="23" borderId="9" xfId="47" applyFont="1" applyFill="1" applyBorder="1" applyAlignment="1">
      <alignment horizontal="left"/>
    </xf>
    <xf numFmtId="0" fontId="56" fillId="31" borderId="0" xfId="0" applyFont="1" applyFill="1" applyAlignment="1">
      <alignment horizontal="center"/>
    </xf>
    <xf numFmtId="0" fontId="2" fillId="23" borderId="0" xfId="0" applyFont="1" applyFill="1" applyAlignment="1">
      <alignment horizontal="center"/>
    </xf>
    <xf numFmtId="0" fontId="40" fillId="23" borderId="0" xfId="0" applyFont="1" applyFill="1" applyAlignment="1">
      <alignment horizontal="center"/>
    </xf>
    <xf numFmtId="3" fontId="74" fillId="0" borderId="55" xfId="0" applyNumberFormat="1" applyFont="1" applyBorder="1" applyAlignment="1">
      <alignment horizontal="center" vertical="center" wrapText="1"/>
    </xf>
    <xf numFmtId="3" fontId="74" fillId="0" borderId="56" xfId="0" applyNumberFormat="1" applyFont="1" applyBorder="1" applyAlignment="1">
      <alignment horizontal="center" vertical="center" wrapText="1"/>
    </xf>
    <xf numFmtId="3" fontId="67" fillId="23" borderId="9" xfId="0" applyNumberFormat="1" applyFont="1" applyFill="1" applyBorder="1" applyAlignment="1">
      <alignment horizontal="right"/>
    </xf>
    <xf numFmtId="0" fontId="0" fillId="0" borderId="0" xfId="0" applyFill="1" applyAlignment="1">
      <alignment horizontal="left"/>
    </xf>
  </cellXfs>
  <cellStyles count="59">
    <cellStyle name="20 % - Accent1" xfId="1" builtinId="30" customBuiltin="1"/>
    <cellStyle name="20 % - Accent1 2" xfId="2" xr:uid="{00000000-0005-0000-0000-000001000000}"/>
    <cellStyle name="20 % - Accent2" xfId="3" builtinId="34" customBuiltin="1"/>
    <cellStyle name="20 % - Accent2 2" xfId="4" xr:uid="{00000000-0005-0000-0000-000003000000}"/>
    <cellStyle name="20 % - Accent3" xfId="5" builtinId="38" customBuiltin="1"/>
    <cellStyle name="20 % - Accent3 2" xfId="6" xr:uid="{00000000-0005-0000-0000-000005000000}"/>
    <cellStyle name="20 % - Accent4" xfId="7" builtinId="42" customBuiltin="1"/>
    <cellStyle name="20 % - Accent4 2" xfId="8" xr:uid="{00000000-0005-0000-0000-000007000000}"/>
    <cellStyle name="20 % - Accent5" xfId="9" builtinId="46" customBuiltin="1"/>
    <cellStyle name="20 % - Accent5 2" xfId="10" xr:uid="{00000000-0005-0000-0000-000009000000}"/>
    <cellStyle name="20 % - Accent6" xfId="11" builtinId="50" customBuiltin="1"/>
    <cellStyle name="20 % - Accent6 2" xfId="12" xr:uid="{00000000-0005-0000-0000-00000B000000}"/>
    <cellStyle name="40 % - Accent1" xfId="13" builtinId="31" customBuiltin="1"/>
    <cellStyle name="40 % - Accent1 2" xfId="14" xr:uid="{00000000-0005-0000-0000-00000D000000}"/>
    <cellStyle name="40 % - Accent2" xfId="15" builtinId="35" customBuiltin="1"/>
    <cellStyle name="40 % - Accent2 2" xfId="16" xr:uid="{00000000-0005-0000-0000-00000F000000}"/>
    <cellStyle name="40 % - Accent3" xfId="17" builtinId="39" customBuiltin="1"/>
    <cellStyle name="40 % - Accent3 2" xfId="18" xr:uid="{00000000-0005-0000-0000-000011000000}"/>
    <cellStyle name="40 % - Accent4" xfId="19" builtinId="43" customBuiltin="1"/>
    <cellStyle name="40 % - Accent4 2" xfId="20" xr:uid="{00000000-0005-0000-0000-000013000000}"/>
    <cellStyle name="40 % - Accent5" xfId="21" builtinId="47" customBuiltin="1"/>
    <cellStyle name="40 % - Accent5 2" xfId="22" xr:uid="{00000000-0005-0000-0000-000015000000}"/>
    <cellStyle name="40 % - Accent6" xfId="23" builtinId="51" customBuiltin="1"/>
    <cellStyle name="40 % - Accent6 2" xfId="24" xr:uid="{00000000-0005-0000-0000-000017000000}"/>
    <cellStyle name="60 % - Accent1" xfId="25" builtinId="32" customBuiltin="1"/>
    <cellStyle name="60 % - Accent2" xfId="26" builtinId="36" customBuiltin="1"/>
    <cellStyle name="60 % - Accent3" xfId="27" builtinId="40" customBuiltin="1"/>
    <cellStyle name="60 % - Accent4" xfId="28" builtinId="44" customBuiltin="1"/>
    <cellStyle name="60 % - Accent5" xfId="29" builtinId="48" customBuiltin="1"/>
    <cellStyle name="60 % - Accent6" xfId="30" builtinId="52" customBuiltin="1"/>
    <cellStyle name="Accent1" xfId="31" builtinId="29" customBuiltin="1"/>
    <cellStyle name="Accent2" xfId="32" builtinId="33" customBuiltin="1"/>
    <cellStyle name="Accent3" xfId="33" builtinId="37" customBuiltin="1"/>
    <cellStyle name="Accent4" xfId="34" builtinId="41" customBuiltin="1"/>
    <cellStyle name="Accent5" xfId="35" builtinId="45" customBuiltin="1"/>
    <cellStyle name="Accent6" xfId="36" builtinId="49" customBuiltin="1"/>
    <cellStyle name="Avertissement" xfId="37" builtinId="11" customBuiltin="1"/>
    <cellStyle name="Calcul" xfId="38" builtinId="22" customBuiltin="1"/>
    <cellStyle name="Cellule liée" xfId="39" builtinId="24" customBuiltin="1"/>
    <cellStyle name="Entrée" xfId="40" builtinId="20" customBuiltin="1"/>
    <cellStyle name="Insatisfaisant" xfId="41" builtinId="27" customBuiltin="1"/>
    <cellStyle name="Lien hypertexte" xfId="42" builtinId="8"/>
    <cellStyle name="Neutre" xfId="43" builtinId="28" customBuiltin="1"/>
    <cellStyle name="Normal" xfId="0" builtinId="0"/>
    <cellStyle name="Normal 2" xfId="58" xr:uid="{53477B68-2969-49BE-800E-72473AECD5E5}"/>
    <cellStyle name="Normal 9" xfId="44" xr:uid="{00000000-0005-0000-0000-00002C000000}"/>
    <cellStyle name="Normal_Feuil2_Laboratoires" xfId="45" xr:uid="{00000000-0005-0000-0000-00002D000000}"/>
    <cellStyle name="Normal_Laboratoires" xfId="46" xr:uid="{00000000-0005-0000-0000-00002E000000}"/>
    <cellStyle name="Pourcentage" xfId="47" builtinId="5"/>
    <cellStyle name="Satisfaisant" xfId="48" builtinId="26" customBuiltin="1"/>
    <cellStyle name="Sortie" xfId="49" builtinId="21" customBuiltin="1"/>
    <cellStyle name="Texte explicatif" xfId="50" builtinId="53" customBuiltin="1"/>
    <cellStyle name="Titre" xfId="51" builtinId="15" customBuiltin="1"/>
    <cellStyle name="Titre 1" xfId="52" builtinId="16" customBuiltin="1"/>
    <cellStyle name="Titre 2" xfId="53" builtinId="17" customBuiltin="1"/>
    <cellStyle name="Titre 3" xfId="54" builtinId="18" customBuiltin="1"/>
    <cellStyle name="Titre 4" xfId="55" builtinId="19" customBuiltin="1"/>
    <cellStyle name="Total" xfId="56" builtinId="25" customBuiltin="1"/>
    <cellStyle name="Vérification" xfId="57" builtinId="23" customBuiltin="1"/>
  </cellStyles>
  <dxfs count="5">
    <dxf>
      <font>
        <b/>
        <i val="0"/>
        <condense val="0"/>
        <extend val="0"/>
      </font>
      <fill>
        <patternFill>
          <bgColor indexed="10"/>
        </patternFill>
      </fill>
    </dxf>
    <dxf>
      <font>
        <b/>
        <i val="0"/>
        <condense val="0"/>
        <extend val="0"/>
      </font>
      <fill>
        <patternFill>
          <bgColor indexed="10"/>
        </patternFill>
      </fill>
    </dxf>
    <dxf>
      <fill>
        <patternFill>
          <bgColor indexed="10"/>
        </patternFill>
      </fill>
    </dxf>
    <dxf>
      <fill>
        <patternFill>
          <bgColor indexed="10"/>
        </patternFill>
      </fill>
    </dxf>
    <dxf>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6AB38"/>
      <color rgb="FFFFECC5"/>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déplacements de personnes par type de parcours, tCO2e</a:t>
            </a:r>
            <a:endParaRPr lang="fr-FR" sz="1000" b="1" i="0" u="none" strike="noStrike" baseline="0">
              <a:solidFill>
                <a:srgbClr val="DD0806"/>
              </a:solidFill>
              <a:latin typeface="Verdana"/>
              <a:ea typeface="Verdana"/>
            </a:endParaRPr>
          </a:p>
        </c:rich>
      </c:tx>
      <c:layout>
        <c:manualLayout>
          <c:xMode val="edge"/>
          <c:yMode val="edge"/>
          <c:x val="0.19607876175971831"/>
          <c:y val="3.1818101389011769E-2"/>
        </c:manualLayout>
      </c:layout>
      <c:overlay val="0"/>
      <c:spPr>
        <a:noFill/>
        <a:ln w="25400">
          <a:noFill/>
        </a:ln>
      </c:spPr>
    </c:title>
    <c:autoTitleDeleted val="0"/>
    <c:plotArea>
      <c:layout>
        <c:manualLayout>
          <c:layoutTarget val="inner"/>
          <c:xMode val="edge"/>
          <c:yMode val="edge"/>
          <c:x val="5.4902065912350473E-2"/>
          <c:y val="0.13211097095715163"/>
          <c:w val="0.93725669664655453"/>
          <c:h val="0.71107098860505835"/>
        </c:manualLayout>
      </c:layout>
      <c:barChart>
        <c:barDir val="col"/>
        <c:grouping val="stacked"/>
        <c:varyColors val="0"/>
        <c:ser>
          <c:idx val="0"/>
          <c:order val="0"/>
          <c:tx>
            <c:v>Type de parcours</c:v>
          </c:tx>
          <c:spPr>
            <a:solidFill>
              <a:schemeClr val="tx2">
                <a:lumMod val="40000"/>
                <a:lumOff val="60000"/>
              </a:schemeClr>
            </a:solidFill>
            <a:ln w="12700">
              <a:solidFill>
                <a:srgbClr val="000000"/>
              </a:solidFill>
              <a:prstDash val="solid"/>
            </a:ln>
          </c:spPr>
          <c:invertIfNegative val="0"/>
          <c:dLbls>
            <c:numFmt formatCode="#,##0" sourceLinked="0"/>
            <c:spPr>
              <a:noFill/>
              <a:ln w="25400">
                <a:noFill/>
              </a:ln>
            </c:spPr>
            <c:txPr>
              <a:bodyPr wrap="square" lIns="38100" tIns="19050" rIns="38100" bIns="19050" anchor="ctr">
                <a:spAutoFit/>
              </a:bodyPr>
              <a:lstStyle/>
              <a:p>
                <a:pPr>
                  <a:defRPr sz="1000" b="1" i="0" u="none" strike="noStrike" baseline="0">
                    <a:solidFill>
                      <a:schemeClr val="bg1"/>
                    </a:solidFill>
                    <a:latin typeface="Verdana"/>
                    <a:ea typeface="Verdana"/>
                    <a:cs typeface="Verdana"/>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1'!$J$292:$J$294</c:f>
                <c:numCache>
                  <c:formatCode>General</c:formatCode>
                  <c:ptCount val="3"/>
                  <c:pt idx="0">
                    <c:v>95.698295999999985</c:v>
                  </c:pt>
                  <c:pt idx="1">
                    <c:v>230.27121599999995</c:v>
                  </c:pt>
                  <c:pt idx="2">
                    <c:v>0</c:v>
                  </c:pt>
                </c:numCache>
              </c:numRef>
            </c:plus>
            <c:minus>
              <c:numRef>
                <c:f>'Campus site 1'!$J$292:$J$294</c:f>
                <c:numCache>
                  <c:formatCode>General</c:formatCode>
                  <c:ptCount val="3"/>
                  <c:pt idx="0">
                    <c:v>95.698295999999985</c:v>
                  </c:pt>
                  <c:pt idx="1">
                    <c:v>230.27121599999995</c:v>
                  </c:pt>
                  <c:pt idx="2">
                    <c:v>0</c:v>
                  </c:pt>
                </c:numCache>
              </c:numRef>
            </c:minus>
            <c:spPr>
              <a:gradFill rotWithShape="0">
                <a:gsLst>
                  <a:gs pos="0">
                    <a:srgbClr val="DD0806">
                      <a:gamma/>
                      <a:shade val="46275"/>
                      <a:invGamma/>
                    </a:srgbClr>
                  </a:gs>
                  <a:gs pos="100000">
                    <a:srgbClr val="DD0806"/>
                  </a:gs>
                </a:gsLst>
                <a:lin ang="5400000" scaled="1"/>
              </a:gradFill>
              <a:ln w="12700">
                <a:solidFill>
                  <a:srgbClr val="000000"/>
                </a:solidFill>
                <a:prstDash val="solid"/>
              </a:ln>
            </c:spPr>
          </c:errBars>
          <c:cat>
            <c:strRef>
              <c:f>'Campus site 1'!$C$292:$C$294</c:f>
              <c:strCache>
                <c:ptCount val="3"/>
                <c:pt idx="0">
                  <c:v>Déplacements domicile-travail</c:v>
                </c:pt>
                <c:pt idx="1">
                  <c:v>Déplacements professionnels hors domicile-travail</c:v>
                </c:pt>
                <c:pt idx="2">
                  <c:v>Déplacements des visiteurs</c:v>
                </c:pt>
              </c:strCache>
            </c:strRef>
          </c:cat>
          <c:val>
            <c:numRef>
              <c:f>'Campus site 1'!$E$292:$E$294</c:f>
              <c:numCache>
                <c:formatCode>#,##0</c:formatCode>
                <c:ptCount val="3"/>
                <c:pt idx="0">
                  <c:v>161.47728000000001</c:v>
                </c:pt>
                <c:pt idx="1">
                  <c:v>328.95888000000002</c:v>
                </c:pt>
                <c:pt idx="2">
                  <c:v>0</c:v>
                </c:pt>
              </c:numCache>
            </c:numRef>
          </c:val>
          <c:extLst>
            <c:ext xmlns:c16="http://schemas.microsoft.com/office/drawing/2014/chart" uri="{C3380CC4-5D6E-409C-BE32-E72D297353CC}">
              <c16:uniqueId val="{00000000-0E93-461E-8E6C-034DCA26DC38}"/>
            </c:ext>
          </c:extLst>
        </c:ser>
        <c:dLbls>
          <c:showLegendKey val="0"/>
          <c:showVal val="0"/>
          <c:showCatName val="0"/>
          <c:showSerName val="0"/>
          <c:showPercent val="0"/>
          <c:showBubbleSize val="0"/>
        </c:dLbls>
        <c:gapWidth val="150"/>
        <c:overlap val="100"/>
        <c:axId val="310604096"/>
        <c:axId val="313274400"/>
      </c:barChart>
      <c:catAx>
        <c:axId val="3106040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3274400"/>
        <c:crosses val="autoZero"/>
        <c:auto val="1"/>
        <c:lblAlgn val="ctr"/>
        <c:lblOffset val="100"/>
        <c:tickLblSkip val="1"/>
        <c:tickMarkSkip val="1"/>
        <c:noMultiLvlLbl val="0"/>
      </c:catAx>
      <c:valAx>
        <c:axId val="313274400"/>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0604096"/>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déplacements de personnes par type de parcours, économies et ém° résiduelles, tCO2e</a:t>
            </a:r>
            <a:endParaRPr lang="fr-FR" sz="1000" b="1" i="0" u="none" strike="noStrike" baseline="0">
              <a:solidFill>
                <a:srgbClr val="DD0806"/>
              </a:solidFill>
              <a:latin typeface="Verdana"/>
              <a:ea typeface="Verdana"/>
            </a:endParaRPr>
          </a:p>
        </c:rich>
      </c:tx>
      <c:layout>
        <c:manualLayout>
          <c:xMode val="edge"/>
          <c:yMode val="edge"/>
          <c:x val="0.10236243597303642"/>
          <c:y val="1.0373478596074367E-2"/>
        </c:manualLayout>
      </c:layout>
      <c:overlay val="0"/>
      <c:spPr>
        <a:noFill/>
        <a:ln w="25400">
          <a:noFill/>
        </a:ln>
      </c:spPr>
    </c:title>
    <c:autoTitleDeleted val="0"/>
    <c:plotArea>
      <c:layout>
        <c:manualLayout>
          <c:layoutTarget val="inner"/>
          <c:xMode val="edge"/>
          <c:yMode val="edge"/>
          <c:x val="5.8823529411764705E-2"/>
          <c:y val="0.14574712678137305"/>
          <c:w val="0.9327731092436975"/>
          <c:h val="0.69133129339480226"/>
        </c:manualLayout>
      </c:layout>
      <c:barChart>
        <c:barDir val="col"/>
        <c:grouping val="stacked"/>
        <c:varyColors val="0"/>
        <c:ser>
          <c:idx val="1"/>
          <c:order val="0"/>
          <c:tx>
            <c:v>émissions résiduelles par parcours</c:v>
          </c:tx>
          <c:spPr>
            <a:solidFill>
              <a:schemeClr val="tx2">
                <a:lumMod val="40000"/>
                <a:lumOff val="60000"/>
              </a:schemeClr>
            </a:solidFill>
            <a:ln w="12700">
              <a:solidFill>
                <a:srgbClr val="000000"/>
              </a:solidFill>
              <a:prstDash val="solid"/>
            </a:ln>
          </c:spPr>
          <c:invertIfNegative val="0"/>
          <c:cat>
            <c:strRef>
              <c:f>'Campus site 1'!$C$292:$C$294</c:f>
              <c:strCache>
                <c:ptCount val="3"/>
                <c:pt idx="0">
                  <c:v>Déplacements domicile-travail</c:v>
                </c:pt>
                <c:pt idx="1">
                  <c:v>Déplacements professionnels hors domicile-travail</c:v>
                </c:pt>
                <c:pt idx="2">
                  <c:v>Déplacements des visiteurs</c:v>
                </c:pt>
              </c:strCache>
            </c:strRef>
          </c:cat>
          <c:val>
            <c:numRef>
              <c:f>'Campus site 1'!$P$292:$P$294</c:f>
              <c:numCache>
                <c:formatCode>#,##0</c:formatCode>
                <c:ptCount val="3"/>
                <c:pt idx="0">
                  <c:v>161.47728000000001</c:v>
                </c:pt>
                <c:pt idx="1">
                  <c:v>328.95888000000002</c:v>
                </c:pt>
                <c:pt idx="2">
                  <c:v>0</c:v>
                </c:pt>
              </c:numCache>
            </c:numRef>
          </c:val>
          <c:extLst>
            <c:ext xmlns:c16="http://schemas.microsoft.com/office/drawing/2014/chart" uri="{C3380CC4-5D6E-409C-BE32-E72D297353CC}">
              <c16:uniqueId val="{00000000-0505-409D-8D5A-EF8F096DB8ED}"/>
            </c:ext>
          </c:extLst>
        </c:ser>
        <c:ser>
          <c:idx val="0"/>
          <c:order val="1"/>
          <c:tx>
            <c:v>réductions visées à long terme par parcours</c:v>
          </c:tx>
          <c:spPr>
            <a:solidFill>
              <a:srgbClr val="F6AB38"/>
            </a:solidFill>
            <a:ln w="12700">
              <a:solidFill>
                <a:srgbClr val="000000"/>
              </a:solidFill>
              <a:prstDash val="solid"/>
            </a:ln>
          </c:spPr>
          <c:invertIfNegative val="0"/>
          <c:cat>
            <c:strRef>
              <c:f>'Campus site 1'!$C$292:$C$294</c:f>
              <c:strCache>
                <c:ptCount val="3"/>
                <c:pt idx="0">
                  <c:v>Déplacements domicile-travail</c:v>
                </c:pt>
                <c:pt idx="1">
                  <c:v>Déplacements professionnels hors domicile-travail</c:v>
                </c:pt>
                <c:pt idx="2">
                  <c:v>Déplacements des visiteurs</c:v>
                </c:pt>
              </c:strCache>
            </c:strRef>
          </c:cat>
          <c:val>
            <c:numRef>
              <c:f>'Campus site 1'!$N$292:$N$294</c:f>
              <c:numCache>
                <c:formatCode>#,##0</c:formatCode>
                <c:ptCount val="3"/>
                <c:pt idx="0">
                  <c:v>0</c:v>
                </c:pt>
                <c:pt idx="1">
                  <c:v>0</c:v>
                </c:pt>
                <c:pt idx="2">
                  <c:v>0</c:v>
                </c:pt>
              </c:numCache>
            </c:numRef>
          </c:val>
          <c:extLst>
            <c:ext xmlns:c16="http://schemas.microsoft.com/office/drawing/2014/chart" uri="{C3380CC4-5D6E-409C-BE32-E72D297353CC}">
              <c16:uniqueId val="{00000001-0505-409D-8D5A-EF8F096DB8ED}"/>
            </c:ext>
          </c:extLst>
        </c:ser>
        <c:dLbls>
          <c:showLegendKey val="0"/>
          <c:showVal val="0"/>
          <c:showCatName val="0"/>
          <c:showSerName val="0"/>
          <c:showPercent val="0"/>
          <c:showBubbleSize val="0"/>
        </c:dLbls>
        <c:gapWidth val="150"/>
        <c:overlap val="100"/>
        <c:axId val="313277200"/>
        <c:axId val="313277760"/>
      </c:barChart>
      <c:catAx>
        <c:axId val="3132772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3277760"/>
        <c:crosses val="autoZero"/>
        <c:auto val="1"/>
        <c:lblAlgn val="ctr"/>
        <c:lblOffset val="100"/>
        <c:tickLblSkip val="1"/>
        <c:tickMarkSkip val="1"/>
        <c:noMultiLvlLbl val="0"/>
      </c:catAx>
      <c:valAx>
        <c:axId val="313277760"/>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3277200"/>
        <c:crosses val="autoZero"/>
        <c:crossBetween val="between"/>
      </c:valAx>
      <c:spPr>
        <a:noFill/>
        <a:ln w="25400">
          <a:noFill/>
        </a:ln>
      </c:spPr>
    </c:plotArea>
    <c:legend>
      <c:legendPos val="r"/>
      <c:layout>
        <c:manualLayout>
          <c:xMode val="edge"/>
          <c:yMode val="edge"/>
          <c:x val="1.1782117543677084E-2"/>
          <c:y val="0.1518989901543206"/>
          <c:w val="0.42120850532449966"/>
          <c:h val="0.1123418561443864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sources fixes, tCO2e</a:t>
            </a:r>
            <a:endParaRPr lang="fr-FR" sz="1000" b="1" i="0" u="none" strike="noStrike" baseline="0">
              <a:solidFill>
                <a:srgbClr val="DD0806"/>
              </a:solidFill>
              <a:latin typeface="Verdana"/>
              <a:ea typeface="Verdana"/>
            </a:endParaRPr>
          </a:p>
        </c:rich>
      </c:tx>
      <c:layout>
        <c:manualLayout>
          <c:xMode val="edge"/>
          <c:yMode val="edge"/>
          <c:x val="0.21238958963607432"/>
          <c:y val="1.1062087066702869E-2"/>
        </c:manualLayout>
      </c:layout>
      <c:overlay val="0"/>
      <c:spPr>
        <a:noFill/>
        <a:ln w="25400">
          <a:noFill/>
        </a:ln>
      </c:spPr>
    </c:title>
    <c:autoTitleDeleted val="0"/>
    <c:plotArea>
      <c:layout>
        <c:manualLayout>
          <c:layoutTarget val="inner"/>
          <c:xMode val="edge"/>
          <c:yMode val="edge"/>
          <c:x val="3.469644843029792E-2"/>
          <c:y val="9.9593693616801676E-2"/>
          <c:w val="0.95043485521566085"/>
          <c:h val="0.83740003612494462"/>
        </c:manualLayout>
      </c:layout>
      <c:barChart>
        <c:barDir val="col"/>
        <c:grouping val="clustered"/>
        <c:varyColors val="0"/>
        <c:ser>
          <c:idx val="0"/>
          <c:order val="0"/>
          <c:spPr>
            <a:solidFill>
              <a:schemeClr val="tx2">
                <a:lumMod val="40000"/>
                <a:lumOff val="6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000" b="1" i="0" u="none" strike="noStrike" baseline="0">
                    <a:solidFill>
                      <a:srgbClr val="000000"/>
                    </a:solidFill>
                    <a:latin typeface="Verdana"/>
                    <a:ea typeface="Verdana"/>
                    <a:cs typeface="Verdana"/>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1'!$J$58:$J$60</c:f>
                <c:numCache>
                  <c:formatCode>General</c:formatCode>
                  <c:ptCount val="3"/>
                  <c:pt idx="0">
                    <c:v>41.474400000000038</c:v>
                  </c:pt>
                  <c:pt idx="1">
                    <c:v>11.937518999999998</c:v>
                  </c:pt>
                  <c:pt idx="2">
                    <c:v>91.530000000000015</c:v>
                  </c:pt>
                </c:numCache>
              </c:numRef>
            </c:plus>
            <c:minus>
              <c:numRef>
                <c:f>'Campus site 1'!$J$58:$J$60</c:f>
                <c:numCache>
                  <c:formatCode>General</c:formatCode>
                  <c:ptCount val="3"/>
                  <c:pt idx="0">
                    <c:v>41.474400000000038</c:v>
                  </c:pt>
                  <c:pt idx="1">
                    <c:v>11.937518999999998</c:v>
                  </c:pt>
                  <c:pt idx="2">
                    <c:v>91.530000000000015</c:v>
                  </c:pt>
                </c:numCache>
              </c:numRef>
            </c:minus>
            <c:spPr>
              <a:gradFill rotWithShape="0">
                <a:gsLst>
                  <a:gs pos="0">
                    <a:srgbClr val="DD0806">
                      <a:gamma/>
                      <a:shade val="46275"/>
                      <a:invGamma/>
                    </a:srgbClr>
                  </a:gs>
                  <a:gs pos="100000">
                    <a:srgbClr val="DD0806"/>
                  </a:gs>
                </a:gsLst>
                <a:lin ang="5400000" scaled="1"/>
              </a:gradFill>
              <a:ln w="12700">
                <a:solidFill>
                  <a:srgbClr val="000000"/>
                </a:solidFill>
                <a:prstDash val="solid"/>
              </a:ln>
            </c:spPr>
          </c:errBars>
          <c:cat>
            <c:strRef>
              <c:f>'Campus site 1'!$C$58:$C$60</c:f>
              <c:strCache>
                <c:ptCount val="3"/>
                <c:pt idx="0">
                  <c:v>Combustibles fossiles</c:v>
                </c:pt>
                <c:pt idx="1">
                  <c:v>Electricité</c:v>
                </c:pt>
                <c:pt idx="2">
                  <c:v>Fuites de fluides frigorigènes</c:v>
                </c:pt>
              </c:strCache>
            </c:strRef>
          </c:cat>
          <c:val>
            <c:numRef>
              <c:f>'Campus site 1'!$F$58:$F$60</c:f>
              <c:numCache>
                <c:formatCode>#,##0</c:formatCode>
                <c:ptCount val="3"/>
                <c:pt idx="0">
                  <c:v>829.48800000000006</c:v>
                </c:pt>
                <c:pt idx="1">
                  <c:v>119.37519000000002</c:v>
                </c:pt>
                <c:pt idx="2">
                  <c:v>305.10000000000002</c:v>
                </c:pt>
              </c:numCache>
            </c:numRef>
          </c:val>
          <c:extLst>
            <c:ext xmlns:c16="http://schemas.microsoft.com/office/drawing/2014/chart" uri="{C3380CC4-5D6E-409C-BE32-E72D297353CC}">
              <c16:uniqueId val="{00000000-72DD-404F-9BF2-637FE62CD9A4}"/>
            </c:ext>
          </c:extLst>
        </c:ser>
        <c:dLbls>
          <c:showLegendKey val="0"/>
          <c:showVal val="0"/>
          <c:showCatName val="0"/>
          <c:showSerName val="0"/>
          <c:showPercent val="0"/>
          <c:showBubbleSize val="0"/>
        </c:dLbls>
        <c:gapWidth val="150"/>
        <c:axId val="313239216"/>
        <c:axId val="313239776"/>
      </c:barChart>
      <c:catAx>
        <c:axId val="313239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3239776"/>
        <c:crosses val="autoZero"/>
        <c:auto val="1"/>
        <c:lblAlgn val="ctr"/>
        <c:lblOffset val="100"/>
        <c:tickLblSkip val="1"/>
        <c:tickMarkSkip val="1"/>
        <c:noMultiLvlLbl val="0"/>
      </c:catAx>
      <c:valAx>
        <c:axId val="313239776"/>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3239216"/>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oddFooter>&amp;LCalcul des émissions de gaz à effet de serre&amp;RRubrique &amp;A, page &amp;P, édité le &amp;D </c:oddFooter>
    </c:headerFooter>
    <c:pageMargins b="0.98425196899999956" l="0.78740157499999996" r="0.78740157499999996" t="0.98425196899999956" header="0.49212598450000289" footer="0.49212598450000289"/>
    <c:pageSetup paperSize="9" orientation="landscape" horizontalDpi="-4" verticalDpi="-4"/>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sources fixes, réductions et ém° résiduelles, tCO2e</a:t>
            </a:r>
            <a:endParaRPr lang="fr-FR" sz="1000" b="1" i="0" u="none" strike="noStrike" baseline="0">
              <a:solidFill>
                <a:srgbClr val="DD0806"/>
              </a:solidFill>
              <a:latin typeface="Verdana"/>
              <a:ea typeface="Verdana"/>
            </a:endParaRPr>
          </a:p>
        </c:rich>
      </c:tx>
      <c:layout>
        <c:manualLayout>
          <c:xMode val="edge"/>
          <c:yMode val="edge"/>
          <c:x val="0.13131326340391197"/>
          <c:y val="1.382500678794461E-2"/>
        </c:manualLayout>
      </c:layout>
      <c:overlay val="0"/>
      <c:spPr>
        <a:noFill/>
        <a:ln w="25400">
          <a:noFill/>
        </a:ln>
      </c:spPr>
    </c:title>
    <c:autoTitleDeleted val="0"/>
    <c:plotArea>
      <c:layout>
        <c:manualLayout>
          <c:layoutTarget val="inner"/>
          <c:xMode val="edge"/>
          <c:yMode val="edge"/>
          <c:x val="3.5398230088495575E-2"/>
          <c:y val="7.7235925662009458E-2"/>
          <c:w val="0.96207332490518327"/>
          <c:h val="0.85772527972021029"/>
        </c:manualLayout>
      </c:layout>
      <c:barChart>
        <c:barDir val="col"/>
        <c:grouping val="stacked"/>
        <c:varyColors val="0"/>
        <c:ser>
          <c:idx val="1"/>
          <c:order val="0"/>
          <c:tx>
            <c:v>émissions résiduelles</c:v>
          </c:tx>
          <c:spPr>
            <a:solidFill>
              <a:schemeClr val="tx2">
                <a:lumMod val="40000"/>
                <a:lumOff val="60000"/>
              </a:schemeClr>
            </a:solidFill>
            <a:ln w="12700">
              <a:solidFill>
                <a:srgbClr val="000000"/>
              </a:solidFill>
              <a:prstDash val="solid"/>
            </a:ln>
          </c:spPr>
          <c:invertIfNegative val="0"/>
          <c:cat>
            <c:strRef>
              <c:f>'Campus site 1'!$C$58:$C$60</c:f>
              <c:strCache>
                <c:ptCount val="3"/>
                <c:pt idx="0">
                  <c:v>Combustibles fossiles</c:v>
                </c:pt>
                <c:pt idx="1">
                  <c:v>Electricité</c:v>
                </c:pt>
                <c:pt idx="2">
                  <c:v>Fuites de fluides frigorigènes</c:v>
                </c:pt>
              </c:strCache>
            </c:strRef>
          </c:cat>
          <c:val>
            <c:numRef>
              <c:f>'Campus site 1'!$P$58:$P$60</c:f>
              <c:numCache>
                <c:formatCode>#,##0</c:formatCode>
                <c:ptCount val="3"/>
                <c:pt idx="0">
                  <c:v>829.48800000000006</c:v>
                </c:pt>
                <c:pt idx="1">
                  <c:v>119.37519000000002</c:v>
                </c:pt>
                <c:pt idx="2">
                  <c:v>305.10000000000002</c:v>
                </c:pt>
              </c:numCache>
            </c:numRef>
          </c:val>
          <c:extLst>
            <c:ext xmlns:c16="http://schemas.microsoft.com/office/drawing/2014/chart" uri="{C3380CC4-5D6E-409C-BE32-E72D297353CC}">
              <c16:uniqueId val="{00000000-F60C-4C50-8E29-613D71C92015}"/>
            </c:ext>
          </c:extLst>
        </c:ser>
        <c:ser>
          <c:idx val="0"/>
          <c:order val="1"/>
          <c:tx>
            <c:v>réductions visées à long terme</c:v>
          </c:tx>
          <c:spPr>
            <a:solidFill>
              <a:srgbClr val="F6AB38"/>
            </a:solidFill>
            <a:ln w="12700">
              <a:solidFill>
                <a:srgbClr val="000000"/>
              </a:solidFill>
              <a:prstDash val="solid"/>
            </a:ln>
          </c:spPr>
          <c:invertIfNegative val="0"/>
          <c:cat>
            <c:strRef>
              <c:f>'Campus site 1'!$C$58:$C$60</c:f>
              <c:strCache>
                <c:ptCount val="3"/>
                <c:pt idx="0">
                  <c:v>Combustibles fossiles</c:v>
                </c:pt>
                <c:pt idx="1">
                  <c:v>Electricité</c:v>
                </c:pt>
                <c:pt idx="2">
                  <c:v>Fuites de fluides frigorigènes</c:v>
                </c:pt>
              </c:strCache>
            </c:strRef>
          </c:cat>
          <c:val>
            <c:numRef>
              <c:f>'Campus site 1'!$N$58:$N$60</c:f>
              <c:numCache>
                <c:formatCode>#,##0</c:formatCode>
                <c:ptCount val="3"/>
                <c:pt idx="0">
                  <c:v>0</c:v>
                </c:pt>
                <c:pt idx="1">
                  <c:v>0</c:v>
                </c:pt>
                <c:pt idx="2">
                  <c:v>0</c:v>
                </c:pt>
              </c:numCache>
            </c:numRef>
          </c:val>
          <c:extLst>
            <c:ext xmlns:c16="http://schemas.microsoft.com/office/drawing/2014/chart" uri="{C3380CC4-5D6E-409C-BE32-E72D297353CC}">
              <c16:uniqueId val="{00000001-F60C-4C50-8E29-613D71C92015}"/>
            </c:ext>
          </c:extLst>
        </c:ser>
        <c:dLbls>
          <c:showLegendKey val="0"/>
          <c:showVal val="0"/>
          <c:showCatName val="0"/>
          <c:showSerName val="0"/>
          <c:showPercent val="0"/>
          <c:showBubbleSize val="0"/>
        </c:dLbls>
        <c:gapWidth val="150"/>
        <c:overlap val="100"/>
        <c:axId val="312623264"/>
        <c:axId val="312623824"/>
      </c:barChart>
      <c:catAx>
        <c:axId val="3126232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623824"/>
        <c:crosses val="autoZero"/>
        <c:auto val="1"/>
        <c:lblAlgn val="ctr"/>
        <c:lblOffset val="100"/>
        <c:tickLblSkip val="1"/>
        <c:tickMarkSkip val="1"/>
        <c:noMultiLvlLbl val="0"/>
      </c:catAx>
      <c:valAx>
        <c:axId val="312623824"/>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623264"/>
        <c:crosses val="autoZero"/>
        <c:crossBetween val="between"/>
      </c:valAx>
      <c:spPr>
        <a:noFill/>
        <a:ln w="25400">
          <a:noFill/>
        </a:ln>
      </c:spPr>
    </c:plotArea>
    <c:legend>
      <c:legendPos val="r"/>
      <c:layout>
        <c:manualLayout>
          <c:xMode val="edge"/>
          <c:yMode val="edge"/>
          <c:x val="0.57395982304332105"/>
          <c:y val="7.4964702688026061E-2"/>
          <c:w val="0.41984098939929326"/>
          <c:h val="0.11173997646845869"/>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00" b="0"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200" b="1" i="0" u="none" strike="noStrike" baseline="0">
                <a:solidFill>
                  <a:srgbClr val="000000"/>
                </a:solidFill>
                <a:latin typeface="Verdana"/>
                <a:ea typeface="Verdana"/>
              </a:rPr>
              <a:t>Site 1 Campus fret, tCO2e</a:t>
            </a:r>
            <a:endParaRPr lang="fr-FR" sz="1200" b="1" i="0" u="none" strike="noStrike" baseline="0">
              <a:solidFill>
                <a:srgbClr val="DD0806"/>
              </a:solidFill>
              <a:latin typeface="Verdana"/>
              <a:ea typeface="Verdana"/>
            </a:endParaRPr>
          </a:p>
        </c:rich>
      </c:tx>
      <c:layout>
        <c:manualLayout>
          <c:xMode val="edge"/>
          <c:yMode val="edge"/>
          <c:x val="0.26452643419572552"/>
          <c:y val="1.0940944881889764E-2"/>
        </c:manualLayout>
      </c:layout>
      <c:overlay val="0"/>
      <c:spPr>
        <a:noFill/>
        <a:ln w="25400">
          <a:noFill/>
        </a:ln>
      </c:spPr>
    </c:title>
    <c:autoTitleDeleted val="0"/>
    <c:plotArea>
      <c:layout>
        <c:manualLayout>
          <c:layoutTarget val="inner"/>
          <c:xMode val="edge"/>
          <c:yMode val="edge"/>
          <c:x val="5.19802294318953E-2"/>
          <c:y val="0.1208335791698795"/>
          <c:w val="0.93811937879468188"/>
          <c:h val="0.79375161489179458"/>
        </c:manualLayout>
      </c:layout>
      <c:barChart>
        <c:barDir val="col"/>
        <c:grouping val="clustered"/>
        <c:varyColors val="0"/>
        <c:ser>
          <c:idx val="0"/>
          <c:order val="0"/>
          <c:spPr>
            <a:solidFill>
              <a:schemeClr val="tx2">
                <a:lumMod val="40000"/>
                <a:lumOff val="60000"/>
              </a:schemeClr>
            </a:solidFill>
            <a:ln w="12700">
              <a:solidFill>
                <a:srgbClr val="000000"/>
              </a:solidFill>
              <a:prstDash val="solid"/>
            </a:ln>
          </c:spPr>
          <c:invertIfNegative val="0"/>
          <c:dLbls>
            <c:numFmt formatCode="#,##0" sourceLinked="0"/>
            <c:spPr>
              <a:noFill/>
              <a:ln w="25400">
                <a:noFill/>
              </a:ln>
            </c:spPr>
            <c:txPr>
              <a:bodyPr wrap="square" lIns="38100" tIns="19050" rIns="38100" bIns="19050" anchor="ctr">
                <a:spAutoFit/>
              </a:bodyPr>
              <a:lstStyle/>
              <a:p>
                <a:pPr>
                  <a:defRPr sz="1000" b="1" i="0" u="none" strike="noStrike" baseline="0">
                    <a:solidFill>
                      <a:srgbClr val="000000"/>
                    </a:solidFill>
                    <a:latin typeface="Verdana"/>
                    <a:ea typeface="Verdana"/>
                    <a:cs typeface="Verdana"/>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1'!$J$164:$J$167</c:f>
                <c:numCache>
                  <c:formatCode>General</c:formatCode>
                  <c:ptCount val="4"/>
                  <c:pt idx="0">
                    <c:v>22.926399999999997</c:v>
                  </c:pt>
                  <c:pt idx="1">
                    <c:v>0</c:v>
                  </c:pt>
                  <c:pt idx="2">
                    <c:v>0</c:v>
                  </c:pt>
                  <c:pt idx="3">
                    <c:v>0</c:v>
                  </c:pt>
                </c:numCache>
              </c:numRef>
            </c:plus>
            <c:minus>
              <c:numRef>
                <c:f>'Campus site 1'!$J$164:$J$167</c:f>
                <c:numCache>
                  <c:formatCode>General</c:formatCode>
                  <c:ptCount val="4"/>
                  <c:pt idx="0">
                    <c:v>22.926399999999997</c:v>
                  </c:pt>
                  <c:pt idx="1">
                    <c:v>0</c:v>
                  </c:pt>
                  <c:pt idx="2">
                    <c:v>0</c:v>
                  </c:pt>
                  <c:pt idx="3">
                    <c:v>0</c:v>
                  </c:pt>
                </c:numCache>
              </c:numRef>
            </c:minus>
            <c:spPr>
              <a:gradFill rotWithShape="0">
                <a:gsLst>
                  <a:gs pos="0">
                    <a:srgbClr val="DD0806">
                      <a:gamma/>
                      <a:shade val="46275"/>
                      <a:invGamma/>
                    </a:srgbClr>
                  </a:gs>
                  <a:gs pos="100000">
                    <a:srgbClr val="DD0806"/>
                  </a:gs>
                </a:gsLst>
                <a:lin ang="5400000" scaled="1"/>
              </a:gradFill>
              <a:ln w="12700">
                <a:solidFill>
                  <a:srgbClr val="000000"/>
                </a:solidFill>
                <a:prstDash val="solid"/>
              </a:ln>
            </c:spPr>
          </c:errBars>
          <c:cat>
            <c:strRef>
              <c:f>'Campus site 1'!$C$164:$C$167</c:f>
              <c:strCache>
                <c:ptCount val="4"/>
                <c:pt idx="0">
                  <c:v>Fret routier</c:v>
                </c:pt>
                <c:pt idx="1">
                  <c:v>Fret aérien</c:v>
                </c:pt>
                <c:pt idx="2">
                  <c:v>Fret ferroviaire</c:v>
                </c:pt>
                <c:pt idx="3">
                  <c:v>Fret maritime</c:v>
                </c:pt>
              </c:strCache>
            </c:strRef>
          </c:cat>
          <c:val>
            <c:numRef>
              <c:f>'Campus site 1'!$F$164:$F$167</c:f>
              <c:numCache>
                <c:formatCode>#,##0</c:formatCode>
                <c:ptCount val="4"/>
                <c:pt idx="0">
                  <c:v>32.752000000000002</c:v>
                </c:pt>
                <c:pt idx="1">
                  <c:v>0</c:v>
                </c:pt>
                <c:pt idx="2">
                  <c:v>0</c:v>
                </c:pt>
                <c:pt idx="3">
                  <c:v>0</c:v>
                </c:pt>
              </c:numCache>
            </c:numRef>
          </c:val>
          <c:extLst>
            <c:ext xmlns:c16="http://schemas.microsoft.com/office/drawing/2014/chart" uri="{C3380CC4-5D6E-409C-BE32-E72D297353CC}">
              <c16:uniqueId val="{00000000-8C80-4A9D-B80C-E1D7CF28A67B}"/>
            </c:ext>
          </c:extLst>
        </c:ser>
        <c:dLbls>
          <c:showLegendKey val="0"/>
          <c:showVal val="0"/>
          <c:showCatName val="0"/>
          <c:showSerName val="0"/>
          <c:showPercent val="0"/>
          <c:showBubbleSize val="0"/>
        </c:dLbls>
        <c:gapWidth val="150"/>
        <c:axId val="312441200"/>
        <c:axId val="312441760"/>
      </c:barChart>
      <c:catAx>
        <c:axId val="3124412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441760"/>
        <c:crosses val="autoZero"/>
        <c:auto val="1"/>
        <c:lblAlgn val="ctr"/>
        <c:lblOffset val="100"/>
        <c:tickLblSkip val="1"/>
        <c:tickMarkSkip val="1"/>
        <c:noMultiLvlLbl val="0"/>
      </c:catAx>
      <c:valAx>
        <c:axId val="312441760"/>
        <c:scaling>
          <c:orientation val="minMax"/>
        </c:scaling>
        <c:delete val="0"/>
        <c:axPos val="l"/>
        <c:majorGridlines>
          <c:spPr>
            <a:ln w="3175">
              <a:solidFill>
                <a:srgbClr val="000000"/>
              </a:solidFill>
              <a:prstDash val="solid"/>
            </a:ln>
          </c:spPr>
        </c:majorGridlines>
        <c:numFmt formatCode="#,##0.0" sourceLinked="0"/>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441200"/>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fret, Economies et ém° résiduelles, tCO2e</a:t>
            </a:r>
            <a:endParaRPr lang="fr-FR" sz="1000" b="1" i="0" u="none" strike="noStrike" baseline="0">
              <a:solidFill>
                <a:srgbClr val="DD0806"/>
              </a:solidFill>
              <a:latin typeface="Verdana"/>
              <a:ea typeface="Verdana"/>
            </a:endParaRPr>
          </a:p>
        </c:rich>
      </c:tx>
      <c:layout>
        <c:manualLayout>
          <c:xMode val="edge"/>
          <c:yMode val="edge"/>
          <c:x val="0.28851580196311077"/>
          <c:y val="1.0395088279163344E-2"/>
        </c:manualLayout>
      </c:layout>
      <c:overlay val="0"/>
      <c:spPr>
        <a:noFill/>
        <a:ln w="25400">
          <a:noFill/>
        </a:ln>
      </c:spPr>
    </c:title>
    <c:autoTitleDeleted val="0"/>
    <c:plotArea>
      <c:layout>
        <c:manualLayout>
          <c:layoutTarget val="inner"/>
          <c:xMode val="edge"/>
          <c:yMode val="edge"/>
          <c:x val="3.92157399112339E-2"/>
          <c:y val="5.1975104736942015E-2"/>
          <c:w val="0.96078562782523058"/>
          <c:h val="0.87110275539114823"/>
        </c:manualLayout>
      </c:layout>
      <c:barChart>
        <c:barDir val="col"/>
        <c:grouping val="stacked"/>
        <c:varyColors val="0"/>
        <c:ser>
          <c:idx val="1"/>
          <c:order val="0"/>
          <c:tx>
            <c:v>émissions résiduelles</c:v>
          </c:tx>
          <c:spPr>
            <a:solidFill>
              <a:schemeClr val="tx2">
                <a:lumMod val="50000"/>
              </a:schemeClr>
            </a:solidFill>
            <a:ln w="12700">
              <a:solidFill>
                <a:srgbClr val="000000"/>
              </a:solidFill>
              <a:prstDash val="solid"/>
            </a:ln>
          </c:spPr>
          <c:invertIfNegative val="0"/>
          <c:dPt>
            <c:idx val="0"/>
            <c:invertIfNegative val="0"/>
            <c:bubble3D val="0"/>
            <c:spPr>
              <a:solidFill>
                <a:schemeClr val="tx2">
                  <a:lumMod val="40000"/>
                  <a:lumOff val="60000"/>
                </a:schemeClr>
              </a:solidFill>
              <a:ln w="12700">
                <a:solidFill>
                  <a:srgbClr val="000000"/>
                </a:solidFill>
                <a:prstDash val="solid"/>
              </a:ln>
            </c:spPr>
            <c:extLst>
              <c:ext xmlns:c16="http://schemas.microsoft.com/office/drawing/2014/chart" uri="{C3380CC4-5D6E-409C-BE32-E72D297353CC}">
                <c16:uniqueId val="{00000000-DAA9-417F-BC21-18AE727FDFB2}"/>
              </c:ext>
            </c:extLst>
          </c:dPt>
          <c:cat>
            <c:strRef>
              <c:f>'Campus site 1'!$C$164:$C$167</c:f>
              <c:strCache>
                <c:ptCount val="4"/>
                <c:pt idx="0">
                  <c:v>Fret routier</c:v>
                </c:pt>
                <c:pt idx="1">
                  <c:v>Fret aérien</c:v>
                </c:pt>
                <c:pt idx="2">
                  <c:v>Fret ferroviaire</c:v>
                </c:pt>
                <c:pt idx="3">
                  <c:v>Fret maritime</c:v>
                </c:pt>
              </c:strCache>
            </c:strRef>
          </c:cat>
          <c:val>
            <c:numRef>
              <c:f>'Campus site 1'!$P$164:$P$167</c:f>
              <c:numCache>
                <c:formatCode>#,##0</c:formatCode>
                <c:ptCount val="4"/>
                <c:pt idx="0">
                  <c:v>32.752000000000002</c:v>
                </c:pt>
                <c:pt idx="1">
                  <c:v>0</c:v>
                </c:pt>
                <c:pt idx="2">
                  <c:v>0</c:v>
                </c:pt>
                <c:pt idx="3">
                  <c:v>0</c:v>
                </c:pt>
              </c:numCache>
            </c:numRef>
          </c:val>
          <c:extLst>
            <c:ext xmlns:c16="http://schemas.microsoft.com/office/drawing/2014/chart" uri="{C3380CC4-5D6E-409C-BE32-E72D297353CC}">
              <c16:uniqueId val="{00000000-7750-4EAF-820B-E477D4162219}"/>
            </c:ext>
          </c:extLst>
        </c:ser>
        <c:ser>
          <c:idx val="0"/>
          <c:order val="1"/>
          <c:tx>
            <c:v>réductions visées à long terme</c:v>
          </c:tx>
          <c:spPr>
            <a:solidFill>
              <a:srgbClr val="F6AB38"/>
            </a:solidFill>
            <a:ln w="12700">
              <a:solidFill>
                <a:srgbClr val="000000"/>
              </a:solidFill>
              <a:prstDash val="solid"/>
            </a:ln>
          </c:spPr>
          <c:invertIfNegative val="0"/>
          <c:cat>
            <c:strRef>
              <c:f>'Campus site 1'!$C$164:$C$167</c:f>
              <c:strCache>
                <c:ptCount val="4"/>
                <c:pt idx="0">
                  <c:v>Fret routier</c:v>
                </c:pt>
                <c:pt idx="1">
                  <c:v>Fret aérien</c:v>
                </c:pt>
                <c:pt idx="2">
                  <c:v>Fret ferroviaire</c:v>
                </c:pt>
                <c:pt idx="3">
                  <c:v>Fret maritime</c:v>
                </c:pt>
              </c:strCache>
            </c:strRef>
          </c:cat>
          <c:val>
            <c:numRef>
              <c:f>'Campus site 1'!$N$164:$N$167</c:f>
              <c:numCache>
                <c:formatCode>#,##0</c:formatCode>
                <c:ptCount val="4"/>
                <c:pt idx="0">
                  <c:v>0</c:v>
                </c:pt>
                <c:pt idx="1">
                  <c:v>0</c:v>
                </c:pt>
                <c:pt idx="2">
                  <c:v>0</c:v>
                </c:pt>
                <c:pt idx="3">
                  <c:v>0</c:v>
                </c:pt>
              </c:numCache>
            </c:numRef>
          </c:val>
          <c:extLst>
            <c:ext xmlns:c16="http://schemas.microsoft.com/office/drawing/2014/chart" uri="{C3380CC4-5D6E-409C-BE32-E72D297353CC}">
              <c16:uniqueId val="{00000001-7750-4EAF-820B-E477D4162219}"/>
            </c:ext>
          </c:extLst>
        </c:ser>
        <c:dLbls>
          <c:showLegendKey val="0"/>
          <c:showVal val="0"/>
          <c:showCatName val="0"/>
          <c:showSerName val="0"/>
          <c:showPercent val="0"/>
          <c:showBubbleSize val="0"/>
        </c:dLbls>
        <c:gapWidth val="150"/>
        <c:overlap val="100"/>
        <c:axId val="312444560"/>
        <c:axId val="312304960"/>
      </c:barChart>
      <c:catAx>
        <c:axId val="31244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304960"/>
        <c:crosses val="autoZero"/>
        <c:auto val="1"/>
        <c:lblAlgn val="ctr"/>
        <c:lblOffset val="100"/>
        <c:tickLblSkip val="1"/>
        <c:tickMarkSkip val="1"/>
        <c:noMultiLvlLbl val="0"/>
      </c:catAx>
      <c:valAx>
        <c:axId val="312304960"/>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444560"/>
        <c:crosses val="autoZero"/>
        <c:crossBetween val="between"/>
      </c:valAx>
      <c:spPr>
        <a:noFill/>
        <a:ln w="25400">
          <a:noFill/>
        </a:ln>
      </c:spPr>
    </c:plotArea>
    <c:legend>
      <c:legendPos val="r"/>
      <c:layout>
        <c:manualLayout>
          <c:xMode val="edge"/>
          <c:yMode val="edge"/>
          <c:x val="0.55937239009507367"/>
          <c:y val="5.4993004729034421E-2"/>
          <c:w val="0.43375887945513658"/>
          <c:h val="0.12879924150450356"/>
        </c:manualLayout>
      </c:layout>
      <c:overlay val="0"/>
      <c:spPr>
        <a:solidFill>
          <a:srgbClr val="FFFFFF"/>
        </a:solidFill>
        <a:ln w="3175">
          <a:solidFill>
            <a:srgbClr val="000000"/>
          </a:solidFill>
          <a:prstDash val="solid"/>
        </a:ln>
      </c:spPr>
      <c:txPr>
        <a:bodyPr/>
        <a:lstStyle/>
        <a:p>
          <a:pPr>
            <a:defRPr sz="92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déchets directs, tCO2e</a:t>
            </a:r>
            <a:endParaRPr lang="fr-FR" sz="1000" b="1" i="0" u="none" strike="noStrike" baseline="0">
              <a:solidFill>
                <a:srgbClr val="DD0806"/>
              </a:solidFill>
              <a:latin typeface="Verdana"/>
              <a:ea typeface="Verdana"/>
            </a:endParaRPr>
          </a:p>
        </c:rich>
      </c:tx>
      <c:layout>
        <c:manualLayout>
          <c:xMode val="edge"/>
          <c:yMode val="edge"/>
          <c:x val="0.23723760679091177"/>
          <c:y val="2.9914619106346647E-2"/>
        </c:manualLayout>
      </c:layout>
      <c:overlay val="0"/>
      <c:spPr>
        <a:noFill/>
        <a:ln w="25400">
          <a:noFill/>
        </a:ln>
      </c:spPr>
    </c:title>
    <c:autoTitleDeleted val="0"/>
    <c:plotArea>
      <c:layout>
        <c:manualLayout>
          <c:layoutTarget val="inner"/>
          <c:xMode val="edge"/>
          <c:yMode val="edge"/>
          <c:x val="3.9653083920340476E-2"/>
          <c:y val="0.11752161275042725"/>
          <c:w val="0.95539149070570339"/>
          <c:h val="0.80769399308475454"/>
        </c:manualLayout>
      </c:layout>
      <c:barChart>
        <c:barDir val="col"/>
        <c:grouping val="clustered"/>
        <c:varyColors val="0"/>
        <c:ser>
          <c:idx val="0"/>
          <c:order val="0"/>
          <c:spPr>
            <a:solidFill>
              <a:schemeClr val="tx2">
                <a:lumMod val="40000"/>
                <a:lumOff val="60000"/>
              </a:schemeClr>
            </a:solidFill>
            <a:ln w="12700">
              <a:solidFill>
                <a:srgbClr val="000000"/>
              </a:solidFill>
              <a:prstDash val="solid"/>
            </a:ln>
          </c:spPr>
          <c:invertIfNegative val="0"/>
          <c:dPt>
            <c:idx val="0"/>
            <c:invertIfNegative val="0"/>
            <c:bubble3D val="0"/>
            <c:extLst>
              <c:ext xmlns:c16="http://schemas.microsoft.com/office/drawing/2014/chart" uri="{C3380CC4-5D6E-409C-BE32-E72D297353CC}">
                <c16:uniqueId val="{00000000-5BB0-45FB-9993-6326DB2D91D6}"/>
              </c:ext>
            </c:extLst>
          </c:dPt>
          <c:dLbls>
            <c:numFmt formatCode="#,##0" sourceLinked="0"/>
            <c:spPr>
              <a:noFill/>
              <a:ln w="25400">
                <a:noFill/>
              </a:ln>
            </c:spPr>
            <c:txPr>
              <a:bodyPr wrap="square" lIns="38100" tIns="19050" rIns="38100" bIns="19050" anchor="ctr">
                <a:spAutoFit/>
              </a:bodyPr>
              <a:lstStyle/>
              <a:p>
                <a:pPr>
                  <a:defRPr sz="1000" b="1" i="0" u="none" strike="noStrike" baseline="0">
                    <a:solidFill>
                      <a:schemeClr val="bg1"/>
                    </a:solidFill>
                    <a:latin typeface="Verdana"/>
                    <a:ea typeface="Verdana"/>
                    <a:cs typeface="Verdana"/>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1'!$J$645:$J$645</c:f>
                <c:numCache>
                  <c:formatCode>General</c:formatCode>
                  <c:ptCount val="1"/>
                  <c:pt idx="0">
                    <c:v>1.4453544999999997</c:v>
                  </c:pt>
                </c:numCache>
              </c:numRef>
            </c:plus>
            <c:minus>
              <c:numRef>
                <c:f>'Campus site 1'!$J$645:$J$645</c:f>
                <c:numCache>
                  <c:formatCode>General</c:formatCode>
                  <c:ptCount val="1"/>
                  <c:pt idx="0">
                    <c:v>1.4453544999999997</c:v>
                  </c:pt>
                </c:numCache>
              </c:numRef>
            </c:minus>
            <c:spPr>
              <a:gradFill rotWithShape="0">
                <a:gsLst>
                  <a:gs pos="0">
                    <a:srgbClr val="DD0806">
                      <a:gamma/>
                      <a:shade val="46275"/>
                      <a:invGamma/>
                    </a:srgbClr>
                  </a:gs>
                  <a:gs pos="100000">
                    <a:srgbClr val="DD0806"/>
                  </a:gs>
                </a:gsLst>
                <a:lin ang="5400000" scaled="1"/>
              </a:gradFill>
              <a:ln w="12700">
                <a:solidFill>
                  <a:srgbClr val="000000"/>
                </a:solidFill>
                <a:prstDash val="solid"/>
              </a:ln>
            </c:spPr>
          </c:errBars>
          <c:cat>
            <c:strRef>
              <c:f>'Campus site 1'!$C$645:$C$646</c:f>
              <c:strCache>
                <c:ptCount val="2"/>
                <c:pt idx="0">
                  <c:v>Déchets</c:v>
                </c:pt>
                <c:pt idx="1">
                  <c:v>Eaux usées</c:v>
                </c:pt>
              </c:strCache>
            </c:strRef>
          </c:cat>
          <c:val>
            <c:numRef>
              <c:f>'Campus site 1'!$F$645:$F$646</c:f>
              <c:numCache>
                <c:formatCode>#,##0</c:formatCode>
                <c:ptCount val="2"/>
                <c:pt idx="0">
                  <c:v>7.1389149999999999</c:v>
                </c:pt>
                <c:pt idx="1">
                  <c:v>8.4240000000000009E-2</c:v>
                </c:pt>
              </c:numCache>
            </c:numRef>
          </c:val>
          <c:extLst>
            <c:ext xmlns:c16="http://schemas.microsoft.com/office/drawing/2014/chart" uri="{C3380CC4-5D6E-409C-BE32-E72D297353CC}">
              <c16:uniqueId val="{00000000-A935-488B-8829-823ABC51D843}"/>
            </c:ext>
          </c:extLst>
        </c:ser>
        <c:dLbls>
          <c:showLegendKey val="0"/>
          <c:showVal val="0"/>
          <c:showCatName val="0"/>
          <c:showSerName val="0"/>
          <c:showPercent val="0"/>
          <c:showBubbleSize val="0"/>
        </c:dLbls>
        <c:gapWidth val="150"/>
        <c:axId val="312307200"/>
        <c:axId val="312307760"/>
      </c:barChart>
      <c:catAx>
        <c:axId val="3123072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307760"/>
        <c:crosses val="autoZero"/>
        <c:auto val="1"/>
        <c:lblAlgn val="ctr"/>
        <c:lblOffset val="100"/>
        <c:tickLblSkip val="1"/>
        <c:tickMarkSkip val="1"/>
        <c:noMultiLvlLbl val="0"/>
      </c:catAx>
      <c:valAx>
        <c:axId val="312307760"/>
        <c:scaling>
          <c:orientation val="minMax"/>
          <c:min val="0"/>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307200"/>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5" footer="0.5"/>
    <c:pageSetup orientation="landscape" horizontalDpi="300" verticalDpi="300"/>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déchets, économies et ém° résiduelles, tCO2e</a:t>
            </a:r>
            <a:endParaRPr lang="fr-FR" sz="1000" b="1" i="0" u="none" strike="noStrike" baseline="0">
              <a:solidFill>
                <a:srgbClr val="DD0806"/>
              </a:solidFill>
              <a:latin typeface="Verdana"/>
              <a:ea typeface="Verdana"/>
            </a:endParaRPr>
          </a:p>
        </c:rich>
      </c:tx>
      <c:layout>
        <c:manualLayout>
          <c:xMode val="edge"/>
          <c:yMode val="edge"/>
          <c:x val="0.17359061163419831"/>
          <c:y val="1.0204154344960274E-2"/>
        </c:manualLayout>
      </c:layout>
      <c:overlay val="0"/>
      <c:spPr>
        <a:noFill/>
        <a:ln w="25400">
          <a:noFill/>
        </a:ln>
      </c:spPr>
    </c:title>
    <c:autoTitleDeleted val="0"/>
    <c:plotArea>
      <c:layout>
        <c:manualLayout>
          <c:layoutTarget val="inner"/>
          <c:xMode val="edge"/>
          <c:yMode val="edge"/>
          <c:x val="3.8461538461538464E-2"/>
          <c:y val="7.4946466809421838E-2"/>
          <c:w val="0.95604395604395609"/>
          <c:h val="0.8501070663811563"/>
        </c:manualLayout>
      </c:layout>
      <c:barChart>
        <c:barDir val="col"/>
        <c:grouping val="stacked"/>
        <c:varyColors val="0"/>
        <c:ser>
          <c:idx val="1"/>
          <c:order val="0"/>
          <c:tx>
            <c:v>émissions résiduelles</c:v>
          </c:tx>
          <c:spPr>
            <a:solidFill>
              <a:schemeClr val="tx2">
                <a:lumMod val="40000"/>
                <a:lumOff val="60000"/>
              </a:schemeClr>
            </a:solidFill>
            <a:ln w="12700">
              <a:solidFill>
                <a:srgbClr val="000000"/>
              </a:solidFill>
              <a:prstDash val="solid"/>
            </a:ln>
          </c:spPr>
          <c:invertIfNegative val="0"/>
          <c:cat>
            <c:strRef>
              <c:f>'Campus site 1'!$C$645:$C$646</c:f>
              <c:strCache>
                <c:ptCount val="2"/>
                <c:pt idx="0">
                  <c:v>Déchets</c:v>
                </c:pt>
                <c:pt idx="1">
                  <c:v>Eaux usées</c:v>
                </c:pt>
              </c:strCache>
            </c:strRef>
          </c:cat>
          <c:val>
            <c:numRef>
              <c:f>'Campus site 1'!$P$645:$P$646</c:f>
              <c:numCache>
                <c:formatCode>#,##0</c:formatCode>
                <c:ptCount val="2"/>
                <c:pt idx="0">
                  <c:v>7.1389149999999999</c:v>
                </c:pt>
                <c:pt idx="1">
                  <c:v>8.4240000000000009E-2</c:v>
                </c:pt>
              </c:numCache>
            </c:numRef>
          </c:val>
          <c:extLst>
            <c:ext xmlns:c16="http://schemas.microsoft.com/office/drawing/2014/chart" uri="{C3380CC4-5D6E-409C-BE32-E72D297353CC}">
              <c16:uniqueId val="{00000000-C85D-4002-8A00-DA68744F021C}"/>
            </c:ext>
          </c:extLst>
        </c:ser>
        <c:ser>
          <c:idx val="0"/>
          <c:order val="1"/>
          <c:tx>
            <c:v>réductions visées à long terme</c:v>
          </c:tx>
          <c:spPr>
            <a:solidFill>
              <a:srgbClr val="F6AB38"/>
            </a:solidFill>
            <a:ln w="12700">
              <a:solidFill>
                <a:srgbClr val="000000"/>
              </a:solidFill>
              <a:prstDash val="solid"/>
            </a:ln>
          </c:spPr>
          <c:invertIfNegative val="0"/>
          <c:cat>
            <c:strRef>
              <c:f>'Campus site 1'!$C$645:$C$646</c:f>
              <c:strCache>
                <c:ptCount val="2"/>
                <c:pt idx="0">
                  <c:v>Déchets</c:v>
                </c:pt>
                <c:pt idx="1">
                  <c:v>Eaux usées</c:v>
                </c:pt>
              </c:strCache>
            </c:strRef>
          </c:cat>
          <c:val>
            <c:numRef>
              <c:f>'Campus site 1'!$N$645:$N$646</c:f>
              <c:numCache>
                <c:formatCode>#,##0</c:formatCode>
                <c:ptCount val="2"/>
                <c:pt idx="0">
                  <c:v>0</c:v>
                </c:pt>
                <c:pt idx="1">
                  <c:v>0</c:v>
                </c:pt>
              </c:numCache>
            </c:numRef>
          </c:val>
          <c:extLst>
            <c:ext xmlns:c16="http://schemas.microsoft.com/office/drawing/2014/chart" uri="{C3380CC4-5D6E-409C-BE32-E72D297353CC}">
              <c16:uniqueId val="{00000001-C85D-4002-8A00-DA68744F021C}"/>
            </c:ext>
          </c:extLst>
        </c:ser>
        <c:dLbls>
          <c:showLegendKey val="0"/>
          <c:showVal val="0"/>
          <c:showCatName val="0"/>
          <c:showSerName val="0"/>
          <c:showPercent val="0"/>
          <c:showBubbleSize val="0"/>
        </c:dLbls>
        <c:gapWidth val="150"/>
        <c:overlap val="100"/>
        <c:axId val="312277472"/>
        <c:axId val="312278032"/>
      </c:barChart>
      <c:catAx>
        <c:axId val="3122774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278032"/>
        <c:crosses val="autoZero"/>
        <c:auto val="1"/>
        <c:lblAlgn val="ctr"/>
        <c:lblOffset val="100"/>
        <c:tickLblSkip val="1"/>
        <c:tickMarkSkip val="1"/>
        <c:noMultiLvlLbl val="0"/>
      </c:catAx>
      <c:valAx>
        <c:axId val="312278032"/>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2277472"/>
        <c:crosses val="autoZero"/>
        <c:crossBetween val="between"/>
      </c:valAx>
      <c:spPr>
        <a:noFill/>
        <a:ln w="25400">
          <a:noFill/>
        </a:ln>
      </c:spPr>
    </c:plotArea>
    <c:legend>
      <c:legendPos val="r"/>
      <c:layout>
        <c:manualLayout>
          <c:xMode val="edge"/>
          <c:yMode val="edge"/>
          <c:x val="5.6785406622636661E-2"/>
          <c:y val="0.14285744824883315"/>
          <c:w val="0.46583311922861848"/>
          <c:h val="0.13541691903896627"/>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immobilisations, tCO2e</a:t>
            </a:r>
            <a:endParaRPr lang="fr-FR" sz="1000" b="1" i="0" u="none" strike="noStrike" baseline="0">
              <a:solidFill>
                <a:srgbClr val="DD0806"/>
              </a:solidFill>
              <a:latin typeface="Verdana"/>
              <a:ea typeface="Verdana"/>
            </a:endParaRPr>
          </a:p>
        </c:rich>
      </c:tx>
      <c:layout>
        <c:manualLayout>
          <c:xMode val="edge"/>
          <c:yMode val="edge"/>
          <c:x val="0.1897712065467799"/>
          <c:y val="3.2995070738108957E-2"/>
        </c:manualLayout>
      </c:layout>
      <c:overlay val="0"/>
      <c:spPr>
        <a:noFill/>
        <a:ln w="25400">
          <a:noFill/>
        </a:ln>
      </c:spPr>
    </c:title>
    <c:autoTitleDeleted val="0"/>
    <c:plotArea>
      <c:layout>
        <c:manualLayout>
          <c:layoutTarget val="inner"/>
          <c:xMode val="edge"/>
          <c:yMode val="edge"/>
          <c:x val="3.4869240348692404E-2"/>
          <c:y val="0.10804597701149425"/>
          <c:w val="0.96014943960149435"/>
          <c:h val="0.81149425287356325"/>
        </c:manualLayout>
      </c:layout>
      <c:barChart>
        <c:barDir val="col"/>
        <c:grouping val="clustered"/>
        <c:varyColors val="0"/>
        <c:ser>
          <c:idx val="0"/>
          <c:order val="0"/>
          <c:spPr>
            <a:solidFill>
              <a:schemeClr val="tx2">
                <a:lumMod val="40000"/>
                <a:lumOff val="6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1000" b="1" i="0" u="none" strike="noStrike" baseline="0">
                    <a:solidFill>
                      <a:schemeClr val="bg1"/>
                    </a:solidFill>
                    <a:latin typeface="Verdana"/>
                    <a:ea typeface="Verdana"/>
                    <a:cs typeface="Verdana"/>
                  </a:defRPr>
                </a:pPr>
                <a:endParaRPr lang="fr-FR"/>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1'!$I$744:$I$746</c:f>
                <c:numCache>
                  <c:formatCode>General</c:formatCode>
                  <c:ptCount val="3"/>
                  <c:pt idx="0">
                    <c:v>141.80544333333333</c:v>
                  </c:pt>
                  <c:pt idx="1">
                    <c:v>47.717500000000001</c:v>
                  </c:pt>
                  <c:pt idx="2">
                    <c:v>0</c:v>
                  </c:pt>
                </c:numCache>
              </c:numRef>
            </c:plus>
            <c:minus>
              <c:numRef>
                <c:f>'Campus site 1'!$I$744:$I$746</c:f>
                <c:numCache>
                  <c:formatCode>General</c:formatCode>
                  <c:ptCount val="3"/>
                  <c:pt idx="0">
                    <c:v>141.80544333333333</c:v>
                  </c:pt>
                  <c:pt idx="1">
                    <c:v>47.717500000000001</c:v>
                  </c:pt>
                  <c:pt idx="2">
                    <c:v>0</c:v>
                  </c:pt>
                </c:numCache>
              </c:numRef>
            </c:minus>
            <c:spPr>
              <a:gradFill>
                <a:gsLst>
                  <a:gs pos="0">
                    <a:srgbClr val="800000"/>
                  </a:gs>
                  <a:gs pos="100000">
                    <a:srgbClr val="FF0000"/>
                  </a:gs>
                </a:gsLst>
                <a:lin ang="5400000" scaled="0"/>
              </a:gradFill>
              <a:ln w="12700">
                <a:solidFill>
                  <a:srgbClr val="000000"/>
                </a:solidFill>
                <a:prstDash val="solid"/>
              </a:ln>
            </c:spPr>
          </c:errBars>
          <c:cat>
            <c:strRef>
              <c:f>'Campus site 1'!$C$744:$C$746</c:f>
              <c:strCache>
                <c:ptCount val="3"/>
                <c:pt idx="0">
                  <c:v>Bâtiments</c:v>
                </c:pt>
                <c:pt idx="1">
                  <c:v>Informatique</c:v>
                </c:pt>
                <c:pt idx="2">
                  <c:v>Autres équipements</c:v>
                </c:pt>
              </c:strCache>
            </c:strRef>
          </c:cat>
          <c:val>
            <c:numRef>
              <c:f>'Campus site 1'!$E$744:$E$746</c:f>
              <c:numCache>
                <c:formatCode>#,##0</c:formatCode>
                <c:ptCount val="3"/>
                <c:pt idx="0">
                  <c:v>300.91073333333333</c:v>
                </c:pt>
                <c:pt idx="1">
                  <c:v>95.435000000000002</c:v>
                </c:pt>
                <c:pt idx="2">
                  <c:v>0</c:v>
                </c:pt>
              </c:numCache>
            </c:numRef>
          </c:val>
          <c:extLst>
            <c:ext xmlns:c16="http://schemas.microsoft.com/office/drawing/2014/chart" uri="{C3380CC4-5D6E-409C-BE32-E72D297353CC}">
              <c16:uniqueId val="{00000000-A862-4C79-B738-130D59186C35}"/>
            </c:ext>
          </c:extLst>
        </c:ser>
        <c:dLbls>
          <c:showLegendKey val="0"/>
          <c:showVal val="0"/>
          <c:showCatName val="0"/>
          <c:showSerName val="0"/>
          <c:showPercent val="0"/>
          <c:showBubbleSize val="0"/>
        </c:dLbls>
        <c:gapWidth val="150"/>
        <c:axId val="310493392"/>
        <c:axId val="310493952"/>
      </c:barChart>
      <c:catAx>
        <c:axId val="3104933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0493952"/>
        <c:crosses val="autoZero"/>
        <c:auto val="1"/>
        <c:lblAlgn val="ctr"/>
        <c:lblOffset val="100"/>
        <c:tickLblSkip val="1"/>
        <c:tickMarkSkip val="1"/>
        <c:noMultiLvlLbl val="0"/>
      </c:catAx>
      <c:valAx>
        <c:axId val="310493952"/>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0493392"/>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oddFooter>&amp;LCalcul des émissions de gaz à effet de serre&amp;RRubrique &amp;A, page &amp;P, édité le &amp;D</c:oddFooter>
    </c:headerFooter>
    <c:pageMargins b="0.98425196899999956" l="0.78740157499999996" r="0.78740157499999996" t="0.98425196899999956" header="0.49212598450000289" footer="0.49212598450000289"/>
    <c:pageSetup paperSize="0" orientation="portrait" horizontalDpi="-4" verticalDpi="-4"/>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immobilisations, economies et ém° résiduelles, tCO2e</a:t>
            </a:r>
            <a:endParaRPr lang="fr-FR" sz="1000" b="1" i="0" u="none" strike="noStrike" baseline="0">
              <a:solidFill>
                <a:srgbClr val="DD0806"/>
              </a:solidFill>
              <a:latin typeface="Verdana"/>
              <a:ea typeface="Verdana"/>
            </a:endParaRPr>
          </a:p>
        </c:rich>
      </c:tx>
      <c:layout>
        <c:manualLayout>
          <c:xMode val="edge"/>
          <c:yMode val="edge"/>
          <c:x val="0.10997679151760628"/>
          <c:y val="1.2315315784655332E-2"/>
        </c:manualLayout>
      </c:layout>
      <c:overlay val="0"/>
      <c:spPr>
        <a:noFill/>
        <a:ln w="25400">
          <a:noFill/>
        </a:ln>
      </c:spPr>
    </c:title>
    <c:autoTitleDeleted val="0"/>
    <c:plotArea>
      <c:layout>
        <c:manualLayout>
          <c:layoutTarget val="inner"/>
          <c:xMode val="edge"/>
          <c:yMode val="edge"/>
          <c:x val="4.1543026706231452E-2"/>
          <c:y val="0.10562361570610558"/>
          <c:w val="0.95845697329376855"/>
          <c:h val="0.79533953159938808"/>
        </c:manualLayout>
      </c:layout>
      <c:barChart>
        <c:barDir val="col"/>
        <c:grouping val="stacked"/>
        <c:varyColors val="0"/>
        <c:ser>
          <c:idx val="1"/>
          <c:order val="0"/>
          <c:tx>
            <c:v>émissions résiduelles</c:v>
          </c:tx>
          <c:spPr>
            <a:solidFill>
              <a:schemeClr val="tx2">
                <a:lumMod val="40000"/>
                <a:lumOff val="60000"/>
              </a:schemeClr>
            </a:solidFill>
            <a:ln w="12700">
              <a:solidFill>
                <a:srgbClr val="000000"/>
              </a:solidFill>
              <a:prstDash val="solid"/>
            </a:ln>
          </c:spPr>
          <c:invertIfNegative val="0"/>
          <c:cat>
            <c:strRef>
              <c:f>'Campus site 1'!$C$744:$C$746</c:f>
              <c:strCache>
                <c:ptCount val="3"/>
                <c:pt idx="0">
                  <c:v>Bâtiments</c:v>
                </c:pt>
                <c:pt idx="1">
                  <c:v>Informatique</c:v>
                </c:pt>
                <c:pt idx="2">
                  <c:v>Autres équipements</c:v>
                </c:pt>
              </c:strCache>
            </c:strRef>
          </c:cat>
          <c:val>
            <c:numRef>
              <c:f>'Campus site 1'!$O$744:$O$746</c:f>
              <c:numCache>
                <c:formatCode>0</c:formatCode>
                <c:ptCount val="3"/>
                <c:pt idx="0">
                  <c:v>300.91073333333333</c:v>
                </c:pt>
                <c:pt idx="1">
                  <c:v>95.435000000000002</c:v>
                </c:pt>
                <c:pt idx="2">
                  <c:v>0</c:v>
                </c:pt>
              </c:numCache>
            </c:numRef>
          </c:val>
          <c:extLst>
            <c:ext xmlns:c16="http://schemas.microsoft.com/office/drawing/2014/chart" uri="{C3380CC4-5D6E-409C-BE32-E72D297353CC}">
              <c16:uniqueId val="{00000000-ECA7-406D-993E-DE427392A703}"/>
            </c:ext>
          </c:extLst>
        </c:ser>
        <c:ser>
          <c:idx val="0"/>
          <c:order val="1"/>
          <c:tx>
            <c:v>réductions visées à long terme</c:v>
          </c:tx>
          <c:spPr>
            <a:solidFill>
              <a:srgbClr val="F6AB38"/>
            </a:solidFill>
            <a:ln w="12700">
              <a:solidFill>
                <a:srgbClr val="000000"/>
              </a:solidFill>
              <a:prstDash val="solid"/>
            </a:ln>
          </c:spPr>
          <c:invertIfNegative val="0"/>
          <c:cat>
            <c:strRef>
              <c:f>'Campus site 1'!$C$744:$C$746</c:f>
              <c:strCache>
                <c:ptCount val="3"/>
                <c:pt idx="0">
                  <c:v>Bâtiments</c:v>
                </c:pt>
                <c:pt idx="1">
                  <c:v>Informatique</c:v>
                </c:pt>
                <c:pt idx="2">
                  <c:v>Autres équipements</c:v>
                </c:pt>
              </c:strCache>
            </c:strRef>
          </c:cat>
          <c:val>
            <c:numRef>
              <c:f>'Campus site 1'!$M$744:$M$746</c:f>
              <c:numCache>
                <c:formatCode>#,##0</c:formatCode>
                <c:ptCount val="3"/>
                <c:pt idx="0">
                  <c:v>0</c:v>
                </c:pt>
                <c:pt idx="1">
                  <c:v>0</c:v>
                </c:pt>
                <c:pt idx="2">
                  <c:v>0</c:v>
                </c:pt>
              </c:numCache>
            </c:numRef>
          </c:val>
          <c:extLst>
            <c:ext xmlns:c16="http://schemas.microsoft.com/office/drawing/2014/chart" uri="{C3380CC4-5D6E-409C-BE32-E72D297353CC}">
              <c16:uniqueId val="{00000001-ECA7-406D-993E-DE427392A703}"/>
            </c:ext>
          </c:extLst>
        </c:ser>
        <c:dLbls>
          <c:showLegendKey val="0"/>
          <c:showVal val="0"/>
          <c:showCatName val="0"/>
          <c:showSerName val="0"/>
          <c:showPercent val="0"/>
          <c:showBubbleSize val="0"/>
        </c:dLbls>
        <c:gapWidth val="150"/>
        <c:overlap val="100"/>
        <c:axId val="265020832"/>
        <c:axId val="265021392"/>
      </c:barChart>
      <c:catAx>
        <c:axId val="26502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265021392"/>
        <c:crosses val="autoZero"/>
        <c:auto val="1"/>
        <c:lblAlgn val="ctr"/>
        <c:lblOffset val="100"/>
        <c:tickLblSkip val="1"/>
        <c:tickMarkSkip val="1"/>
        <c:noMultiLvlLbl val="0"/>
      </c:catAx>
      <c:valAx>
        <c:axId val="265021392"/>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265020832"/>
        <c:crosses val="autoZero"/>
        <c:crossBetween val="between"/>
      </c:valAx>
      <c:spPr>
        <a:noFill/>
        <a:ln w="25400">
          <a:noFill/>
        </a:ln>
      </c:spPr>
    </c:plotArea>
    <c:legend>
      <c:legendPos val="r"/>
      <c:layout>
        <c:manualLayout>
          <c:xMode val="edge"/>
          <c:yMode val="edge"/>
          <c:x val="0.55491461429995126"/>
          <c:y val="8.8267560774896045E-2"/>
          <c:w val="0.44282746521969729"/>
          <c:h val="0.1268059663273798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1" i="0" u="none" strike="noStrike" baseline="0">
                <a:solidFill>
                  <a:srgbClr val="000000"/>
                </a:solidFill>
                <a:latin typeface="Verdana"/>
                <a:ea typeface="Verdana"/>
                <a:cs typeface="Verdana"/>
              </a:defRPr>
            </a:pPr>
            <a:r>
              <a:rPr lang="fr-FR" sz="1200" b="1" i="0" u="none" strike="noStrike" baseline="0">
                <a:solidFill>
                  <a:srgbClr val="000000"/>
                </a:solidFill>
                <a:latin typeface="Verdana"/>
                <a:ea typeface="Verdana"/>
              </a:rPr>
              <a:t>Campus total, économies et ém° résiduelles, tCO2e</a:t>
            </a:r>
            <a:endParaRPr lang="fr-FR" sz="1000" b="1" i="0" u="none" strike="noStrike" baseline="0">
              <a:solidFill>
                <a:srgbClr val="DD0806"/>
              </a:solidFill>
              <a:latin typeface="Verdana"/>
              <a:ea typeface="Verdana"/>
            </a:endParaRPr>
          </a:p>
          <a:p>
            <a:pPr>
              <a:defRPr sz="950" b="1" i="0" u="none" strike="noStrike" baseline="0">
                <a:solidFill>
                  <a:srgbClr val="000000"/>
                </a:solidFill>
                <a:latin typeface="Verdana"/>
                <a:ea typeface="Verdana"/>
                <a:cs typeface="Verdana"/>
              </a:defRPr>
            </a:pPr>
            <a:r>
              <a:rPr lang="fr-FR" sz="900" b="1" i="0" u="none" strike="noStrike" baseline="0">
                <a:solidFill>
                  <a:srgbClr val="000000"/>
                </a:solidFill>
                <a:latin typeface="Verdana"/>
                <a:ea typeface="Verdana"/>
              </a:rPr>
              <a:t>Réalisé dans le cadre de la démarche Bilan Carbone® Campus</a:t>
            </a:r>
          </a:p>
        </c:rich>
      </c:tx>
      <c:layout>
        <c:manualLayout>
          <c:xMode val="edge"/>
          <c:yMode val="edge"/>
          <c:x val="0.19220066879395178"/>
          <c:y val="3.3556947113894231E-2"/>
        </c:manualLayout>
      </c:layout>
      <c:overlay val="0"/>
      <c:spPr>
        <a:noFill/>
        <a:ln w="25400">
          <a:noFill/>
        </a:ln>
      </c:spPr>
    </c:title>
    <c:autoTitleDeleted val="0"/>
    <c:plotArea>
      <c:layout>
        <c:manualLayout>
          <c:layoutTarget val="inner"/>
          <c:xMode val="edge"/>
          <c:yMode val="edge"/>
          <c:x val="3.2033447968428989E-2"/>
          <c:y val="0.13796613403782568"/>
          <c:w val="0.96935999069680778"/>
          <c:h val="0.76360197622166703"/>
        </c:manualLayout>
      </c:layout>
      <c:barChart>
        <c:barDir val="col"/>
        <c:grouping val="stacked"/>
        <c:varyColors val="0"/>
        <c:ser>
          <c:idx val="1"/>
          <c:order val="0"/>
          <c:tx>
            <c:v>émissions résiduelles</c:v>
          </c:tx>
          <c:spPr>
            <a:solidFill>
              <a:schemeClr val="accent2">
                <a:lumMod val="40000"/>
                <a:lumOff val="60000"/>
              </a:schemeClr>
            </a:solidFill>
            <a:ln w="12700">
              <a:solidFill>
                <a:srgbClr val="000000"/>
              </a:solidFill>
              <a:prstDash val="solid"/>
            </a:ln>
          </c:spPr>
          <c:invertIfNegative val="0"/>
          <c:dPt>
            <c:idx val="0"/>
            <c:invertIfNegative val="0"/>
            <c:bubble3D val="0"/>
            <c:extLst>
              <c:ext xmlns:c16="http://schemas.microsoft.com/office/drawing/2014/chart" uri="{C3380CC4-5D6E-409C-BE32-E72D297353CC}">
                <c16:uniqueId val="{00000007-A96B-4A28-8862-F3B9E1CA6763}"/>
              </c:ext>
            </c:extLst>
          </c:dPt>
          <c:dPt>
            <c:idx val="1"/>
            <c:invertIfNegative val="0"/>
            <c:bubble3D val="0"/>
            <c:extLst>
              <c:ext xmlns:c16="http://schemas.microsoft.com/office/drawing/2014/chart" uri="{C3380CC4-5D6E-409C-BE32-E72D297353CC}">
                <c16:uniqueId val="{00000006-A96B-4A28-8862-F3B9E1CA6763}"/>
              </c:ext>
            </c:extLst>
          </c:dPt>
          <c:dPt>
            <c:idx val="2"/>
            <c:invertIfNegative val="0"/>
            <c:bubble3D val="0"/>
            <c:extLst>
              <c:ext xmlns:c16="http://schemas.microsoft.com/office/drawing/2014/chart" uri="{C3380CC4-5D6E-409C-BE32-E72D297353CC}">
                <c16:uniqueId val="{00000005-A96B-4A28-8862-F3B9E1CA6763}"/>
              </c:ext>
            </c:extLst>
          </c:dPt>
          <c:dPt>
            <c:idx val="3"/>
            <c:invertIfNegative val="0"/>
            <c:bubble3D val="0"/>
            <c:extLst>
              <c:ext xmlns:c16="http://schemas.microsoft.com/office/drawing/2014/chart" uri="{C3380CC4-5D6E-409C-BE32-E72D297353CC}">
                <c16:uniqueId val="{00000004-A96B-4A28-8862-F3B9E1CA6763}"/>
              </c:ext>
            </c:extLst>
          </c:dPt>
          <c:dPt>
            <c:idx val="4"/>
            <c:invertIfNegative val="0"/>
            <c:bubble3D val="0"/>
            <c:extLst>
              <c:ext xmlns:c16="http://schemas.microsoft.com/office/drawing/2014/chart" uri="{C3380CC4-5D6E-409C-BE32-E72D297353CC}">
                <c16:uniqueId val="{00000003-A96B-4A28-8862-F3B9E1CA6763}"/>
              </c:ext>
            </c:extLst>
          </c:dPt>
          <c:dPt>
            <c:idx val="6"/>
            <c:invertIfNegative val="0"/>
            <c:bubble3D val="0"/>
            <c:extLst>
              <c:ext xmlns:c16="http://schemas.microsoft.com/office/drawing/2014/chart" uri="{C3380CC4-5D6E-409C-BE32-E72D297353CC}">
                <c16:uniqueId val="{00000002-A96B-4A28-8862-F3B9E1CA6763}"/>
              </c:ext>
            </c:extLst>
          </c:dPt>
          <c:cat>
            <c:strRef>
              <c:f>'Campus site 1'!$C$788:$C$794</c:f>
              <c:strCache>
                <c:ptCount val="7"/>
                <c:pt idx="0">
                  <c:v>Sources fixes</c:v>
                </c:pt>
                <c:pt idx="1">
                  <c:v>Fret</c:v>
                </c:pt>
                <c:pt idx="2">
                  <c:v>Déplacement de personnes</c:v>
                </c:pt>
                <c:pt idx="3">
                  <c:v>Consommables et matériaux</c:v>
                </c:pt>
                <c:pt idx="4">
                  <c:v>Restaurant Universitaire</c:v>
                </c:pt>
                <c:pt idx="5">
                  <c:v>Déchets directs</c:v>
                </c:pt>
                <c:pt idx="6">
                  <c:v>Immobilisations</c:v>
                </c:pt>
              </c:strCache>
            </c:strRef>
          </c:cat>
          <c:val>
            <c:numRef>
              <c:f>'Campus site 1'!$P$788:$P$794</c:f>
              <c:numCache>
                <c:formatCode>#,##0</c:formatCode>
                <c:ptCount val="7"/>
                <c:pt idx="0">
                  <c:v>1253.9631899999999</c:v>
                </c:pt>
                <c:pt idx="1">
                  <c:v>32.752000000000002</c:v>
                </c:pt>
                <c:pt idx="2">
                  <c:v>490.43616000000003</c:v>
                </c:pt>
                <c:pt idx="3">
                  <c:v>28.703465999999999</c:v>
                </c:pt>
                <c:pt idx="4">
                  <c:v>457.16399999999999</c:v>
                </c:pt>
                <c:pt idx="5">
                  <c:v>7.2231549999999993</c:v>
                </c:pt>
                <c:pt idx="6">
                  <c:v>396.34573333333333</c:v>
                </c:pt>
              </c:numCache>
            </c:numRef>
          </c:val>
          <c:extLst>
            <c:ext xmlns:c16="http://schemas.microsoft.com/office/drawing/2014/chart" uri="{C3380CC4-5D6E-409C-BE32-E72D297353CC}">
              <c16:uniqueId val="{00000000-1813-40D0-82AF-6E3EA36234D4}"/>
            </c:ext>
          </c:extLst>
        </c:ser>
        <c:ser>
          <c:idx val="0"/>
          <c:order val="1"/>
          <c:tx>
            <c:v>réductions visées à long terme</c:v>
          </c:tx>
          <c:spPr>
            <a:solidFill>
              <a:srgbClr val="F6AB38"/>
            </a:solidFill>
            <a:ln w="12700">
              <a:solidFill>
                <a:srgbClr val="000000"/>
              </a:solidFill>
              <a:prstDash val="solid"/>
            </a:ln>
          </c:spPr>
          <c:invertIfNegative val="0"/>
          <c:dPt>
            <c:idx val="5"/>
            <c:invertIfNegative val="0"/>
            <c:bubble3D val="0"/>
            <c:extLst>
              <c:ext xmlns:c16="http://schemas.microsoft.com/office/drawing/2014/chart" uri="{C3380CC4-5D6E-409C-BE32-E72D297353CC}">
                <c16:uniqueId val="{00000001-1813-40D0-82AF-6E3EA36234D4}"/>
              </c:ext>
            </c:extLst>
          </c:dPt>
          <c:cat>
            <c:strRef>
              <c:f>'Campus site 1'!$C$788:$C$794</c:f>
              <c:strCache>
                <c:ptCount val="7"/>
                <c:pt idx="0">
                  <c:v>Sources fixes</c:v>
                </c:pt>
                <c:pt idx="1">
                  <c:v>Fret</c:v>
                </c:pt>
                <c:pt idx="2">
                  <c:v>Déplacement de personnes</c:v>
                </c:pt>
                <c:pt idx="3">
                  <c:v>Consommables et matériaux</c:v>
                </c:pt>
                <c:pt idx="4">
                  <c:v>Restaurant Universitaire</c:v>
                </c:pt>
                <c:pt idx="5">
                  <c:v>Déchets directs</c:v>
                </c:pt>
                <c:pt idx="6">
                  <c:v>Immobilisations</c:v>
                </c:pt>
              </c:strCache>
            </c:strRef>
          </c:cat>
          <c:val>
            <c:numRef>
              <c:f>'Campus site 1'!$N$788:$N$794</c:f>
              <c:numCache>
                <c:formatCode>#,##0</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1813-40D0-82AF-6E3EA36234D4}"/>
            </c:ext>
          </c:extLst>
        </c:ser>
        <c:dLbls>
          <c:showLegendKey val="0"/>
          <c:showVal val="0"/>
          <c:showCatName val="0"/>
          <c:showSerName val="0"/>
          <c:showPercent val="0"/>
          <c:showBubbleSize val="0"/>
        </c:dLbls>
        <c:gapWidth val="150"/>
        <c:overlap val="100"/>
        <c:axId val="265024192"/>
        <c:axId val="336813856"/>
      </c:barChart>
      <c:catAx>
        <c:axId val="265024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00" b="1" i="0" u="none" strike="noStrike" baseline="0">
                <a:solidFill>
                  <a:srgbClr val="000000"/>
                </a:solidFill>
                <a:latin typeface="Verdana"/>
                <a:ea typeface="Verdana"/>
                <a:cs typeface="Verdana"/>
              </a:defRPr>
            </a:pPr>
            <a:endParaRPr lang="fr-FR"/>
          </a:p>
        </c:txPr>
        <c:crossAx val="336813856"/>
        <c:crosses val="autoZero"/>
        <c:auto val="1"/>
        <c:lblAlgn val="ctr"/>
        <c:lblOffset val="100"/>
        <c:tickLblSkip val="1"/>
        <c:tickMarkSkip val="1"/>
        <c:noMultiLvlLbl val="0"/>
      </c:catAx>
      <c:valAx>
        <c:axId val="336813856"/>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850" b="1" i="0" u="none" strike="noStrike" baseline="0">
                <a:solidFill>
                  <a:srgbClr val="000000"/>
                </a:solidFill>
                <a:latin typeface="Verdana"/>
                <a:ea typeface="Verdana"/>
                <a:cs typeface="Verdana"/>
              </a:defRPr>
            </a:pPr>
            <a:endParaRPr lang="fr-FR"/>
          </a:p>
        </c:txPr>
        <c:crossAx val="265024192"/>
        <c:crosses val="autoZero"/>
        <c:crossBetween val="between"/>
      </c:valAx>
      <c:spPr>
        <a:noFill/>
        <a:ln w="25400">
          <a:noFill/>
        </a:ln>
      </c:spPr>
    </c:plotArea>
    <c:legend>
      <c:legendPos val="r"/>
      <c:layout>
        <c:manualLayout>
          <c:xMode val="edge"/>
          <c:yMode val="edge"/>
          <c:x val="0.60855141365356213"/>
          <c:y val="0.17243739014793449"/>
          <c:w val="0.38986371601508996"/>
          <c:h val="0.13841403682807363"/>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95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déplacements de personnes par mode de transport, tCO2e</a:t>
            </a:r>
            <a:endParaRPr lang="fr-FR" sz="1000" b="1" i="0" u="none" strike="noStrike" baseline="0">
              <a:solidFill>
                <a:srgbClr val="DD0806"/>
              </a:solidFill>
              <a:latin typeface="Verdana"/>
              <a:ea typeface="Verdana"/>
            </a:endParaRPr>
          </a:p>
        </c:rich>
      </c:tx>
      <c:layout>
        <c:manualLayout>
          <c:xMode val="edge"/>
          <c:yMode val="edge"/>
          <c:x val="0.15779810578876613"/>
          <c:y val="2.5056839759981769E-2"/>
        </c:manualLayout>
      </c:layout>
      <c:overlay val="0"/>
      <c:spPr>
        <a:noFill/>
        <a:ln w="25400">
          <a:noFill/>
        </a:ln>
      </c:spPr>
    </c:title>
    <c:autoTitleDeleted val="0"/>
    <c:plotArea>
      <c:layout>
        <c:manualLayout>
          <c:layoutTarget val="inner"/>
          <c:xMode val="edge"/>
          <c:yMode val="edge"/>
          <c:x val="5.1376146788990829E-2"/>
          <c:y val="0.12643882943385668"/>
          <c:w val="0.94128440366972477"/>
          <c:h val="0.75511129916967579"/>
        </c:manualLayout>
      </c:layout>
      <c:barChart>
        <c:barDir val="col"/>
        <c:grouping val="stacked"/>
        <c:varyColors val="0"/>
        <c:ser>
          <c:idx val="0"/>
          <c:order val="0"/>
          <c:tx>
            <c:v>Mode de transport</c:v>
          </c:tx>
          <c:spPr>
            <a:solidFill>
              <a:schemeClr val="tx2">
                <a:lumMod val="40000"/>
                <a:lumOff val="60000"/>
              </a:schemeClr>
            </a:solidFill>
            <a:ln w="12700">
              <a:solidFill>
                <a:srgbClr val="000000"/>
              </a:solidFill>
              <a:prstDash val="solid"/>
            </a:ln>
          </c:spPr>
          <c:invertIfNegative val="0"/>
          <c:dLbls>
            <c:numFmt formatCode="#,##0" sourceLinked="0"/>
            <c:spPr>
              <a:noFill/>
              <a:ln w="25400">
                <a:noFill/>
              </a:ln>
            </c:spPr>
            <c:txPr>
              <a:bodyPr wrap="square" lIns="38100" tIns="19050" rIns="38100" bIns="19050" anchor="ctr">
                <a:spAutoFit/>
              </a:bodyPr>
              <a:lstStyle/>
              <a:p>
                <a:pPr>
                  <a:defRPr sz="1000" b="1" i="0" u="none" strike="noStrike" baseline="0">
                    <a:solidFill>
                      <a:schemeClr val="bg1"/>
                    </a:solidFill>
                    <a:latin typeface="Verdana"/>
                    <a:ea typeface="Verdana"/>
                    <a:cs typeface="Verdana"/>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1'!$J$298:$J$301</c:f>
                <c:numCache>
                  <c:formatCode>General</c:formatCode>
                  <c:ptCount val="4"/>
                  <c:pt idx="0">
                    <c:v>77.606099999999998</c:v>
                  </c:pt>
                  <c:pt idx="1">
                    <c:v>9.7200000000000006</c:v>
                  </c:pt>
                  <c:pt idx="2">
                    <c:v>8.3721960000000006</c:v>
                  </c:pt>
                  <c:pt idx="3">
                    <c:v>230.27121599999995</c:v>
                  </c:pt>
                </c:numCache>
              </c:numRef>
            </c:plus>
            <c:minus>
              <c:numRef>
                <c:f>'Campus site 1'!$J$298:$J$301</c:f>
                <c:numCache>
                  <c:formatCode>General</c:formatCode>
                  <c:ptCount val="4"/>
                  <c:pt idx="0">
                    <c:v>77.606099999999998</c:v>
                  </c:pt>
                  <c:pt idx="1">
                    <c:v>9.7200000000000006</c:v>
                  </c:pt>
                  <c:pt idx="2">
                    <c:v>8.3721960000000006</c:v>
                  </c:pt>
                  <c:pt idx="3">
                    <c:v>230.27121599999995</c:v>
                  </c:pt>
                </c:numCache>
              </c:numRef>
            </c:minus>
            <c:spPr>
              <a:gradFill rotWithShape="0">
                <a:gsLst>
                  <a:gs pos="0">
                    <a:srgbClr val="DD0806">
                      <a:gamma/>
                      <a:shade val="46275"/>
                      <a:invGamma/>
                    </a:srgbClr>
                  </a:gs>
                  <a:gs pos="100000">
                    <a:srgbClr val="DD0806"/>
                  </a:gs>
                </a:gsLst>
                <a:lin ang="5400000" scaled="1"/>
              </a:gradFill>
              <a:ln w="12700">
                <a:solidFill>
                  <a:srgbClr val="000000"/>
                </a:solidFill>
                <a:prstDash val="solid"/>
              </a:ln>
            </c:spPr>
          </c:errBars>
          <c:cat>
            <c:strRef>
              <c:f>'Campus site 1'!$C$298:$C$301</c:f>
              <c:strCache>
                <c:ptCount val="4"/>
                <c:pt idx="0">
                  <c:v>Voiture</c:v>
                </c:pt>
                <c:pt idx="1">
                  <c:v>Autres modes routiers</c:v>
                </c:pt>
                <c:pt idx="2">
                  <c:v>Train</c:v>
                </c:pt>
                <c:pt idx="3">
                  <c:v>Avion</c:v>
                </c:pt>
              </c:strCache>
            </c:strRef>
          </c:cat>
          <c:val>
            <c:numRef>
              <c:f>'Campus site 1'!$E$298:$E$301</c:f>
              <c:numCache>
                <c:formatCode>#,##0</c:formatCode>
                <c:ptCount val="4"/>
                <c:pt idx="0">
                  <c:v>129.34350000000001</c:v>
                </c:pt>
                <c:pt idx="1">
                  <c:v>16.2</c:v>
                </c:pt>
                <c:pt idx="2">
                  <c:v>15.93378</c:v>
                </c:pt>
                <c:pt idx="3">
                  <c:v>328.95888000000002</c:v>
                </c:pt>
              </c:numCache>
            </c:numRef>
          </c:val>
          <c:extLst>
            <c:ext xmlns:c16="http://schemas.microsoft.com/office/drawing/2014/chart" uri="{C3380CC4-5D6E-409C-BE32-E72D297353CC}">
              <c16:uniqueId val="{00000000-D49E-4B27-A98A-E6624C3B576A}"/>
            </c:ext>
          </c:extLst>
        </c:ser>
        <c:dLbls>
          <c:showLegendKey val="0"/>
          <c:showVal val="0"/>
          <c:showCatName val="0"/>
          <c:showSerName val="0"/>
          <c:showPercent val="0"/>
          <c:showBubbleSize val="0"/>
        </c:dLbls>
        <c:gapWidth val="150"/>
        <c:overlap val="100"/>
        <c:axId val="336816096"/>
        <c:axId val="336816656"/>
      </c:barChart>
      <c:catAx>
        <c:axId val="3368160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36816656"/>
        <c:crosses val="autoZero"/>
        <c:auto val="1"/>
        <c:lblAlgn val="ctr"/>
        <c:lblOffset val="100"/>
        <c:tickLblSkip val="1"/>
        <c:tickMarkSkip val="1"/>
        <c:noMultiLvlLbl val="0"/>
      </c:catAx>
      <c:valAx>
        <c:axId val="336816656"/>
        <c:scaling>
          <c:orientation val="minMax"/>
        </c:scaling>
        <c:delete val="0"/>
        <c:axPos val="l"/>
        <c:majorGridlines>
          <c:spPr>
            <a:ln w="3175">
              <a:solidFill>
                <a:srgbClr val="000000"/>
              </a:solidFill>
              <a:prstDash val="solid"/>
            </a:ln>
          </c:spPr>
        </c:majorGridlines>
        <c:numFmt formatCode="#,##0" sourceLinked="0"/>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36816096"/>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3" footer="0.4921259845000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déplacements de personnes par mode de transport, économies et ém° résiduelles, tCO2e</a:t>
            </a:r>
            <a:endParaRPr lang="fr-FR" sz="1000" b="1" i="0" u="none" strike="noStrike" baseline="0">
              <a:solidFill>
                <a:srgbClr val="DD0806"/>
              </a:solidFill>
              <a:latin typeface="Verdana"/>
              <a:ea typeface="Verdana"/>
            </a:endParaRPr>
          </a:p>
        </c:rich>
      </c:tx>
      <c:layout>
        <c:manualLayout>
          <c:xMode val="edge"/>
          <c:yMode val="edge"/>
          <c:x val="0.10236239818916985"/>
          <c:y val="1.0373478596074367E-2"/>
        </c:manualLayout>
      </c:layout>
      <c:overlay val="0"/>
      <c:spPr>
        <a:noFill/>
        <a:ln w="25400">
          <a:noFill/>
        </a:ln>
      </c:spPr>
    </c:title>
    <c:autoTitleDeleted val="0"/>
    <c:plotArea>
      <c:layout>
        <c:manualLayout>
          <c:layoutTarget val="inner"/>
          <c:xMode val="edge"/>
          <c:yMode val="edge"/>
          <c:x val="4.9151606787145703E-2"/>
          <c:y val="0.13796545916910438"/>
          <c:w val="0.94441301612444239"/>
          <c:h val="0.74318773060760113"/>
        </c:manualLayout>
      </c:layout>
      <c:barChart>
        <c:barDir val="col"/>
        <c:grouping val="stacked"/>
        <c:varyColors val="0"/>
        <c:ser>
          <c:idx val="1"/>
          <c:order val="0"/>
          <c:tx>
            <c:v>émissions résiduelles par parcours</c:v>
          </c:tx>
          <c:spPr>
            <a:solidFill>
              <a:schemeClr val="tx2">
                <a:lumMod val="40000"/>
                <a:lumOff val="60000"/>
              </a:schemeClr>
            </a:solidFill>
            <a:ln w="12700">
              <a:solidFill>
                <a:srgbClr val="000000"/>
              </a:solidFill>
              <a:prstDash val="solid"/>
            </a:ln>
          </c:spPr>
          <c:invertIfNegative val="0"/>
          <c:cat>
            <c:strRef>
              <c:f>'Campus site 1'!$C$298:$C$301</c:f>
              <c:strCache>
                <c:ptCount val="4"/>
                <c:pt idx="0">
                  <c:v>Voiture</c:v>
                </c:pt>
                <c:pt idx="1">
                  <c:v>Autres modes routiers</c:v>
                </c:pt>
                <c:pt idx="2">
                  <c:v>Train</c:v>
                </c:pt>
                <c:pt idx="3">
                  <c:v>Avion</c:v>
                </c:pt>
              </c:strCache>
            </c:strRef>
          </c:cat>
          <c:val>
            <c:numRef>
              <c:f>'Campus site 1'!$P$298:$P$301</c:f>
              <c:numCache>
                <c:formatCode>#,##0</c:formatCode>
                <c:ptCount val="4"/>
                <c:pt idx="0">
                  <c:v>129.34350000000001</c:v>
                </c:pt>
                <c:pt idx="1">
                  <c:v>16.2</c:v>
                </c:pt>
                <c:pt idx="2">
                  <c:v>15.93378</c:v>
                </c:pt>
                <c:pt idx="3">
                  <c:v>328.95888000000002</c:v>
                </c:pt>
              </c:numCache>
            </c:numRef>
          </c:val>
          <c:extLst>
            <c:ext xmlns:c16="http://schemas.microsoft.com/office/drawing/2014/chart" uri="{C3380CC4-5D6E-409C-BE32-E72D297353CC}">
              <c16:uniqueId val="{00000000-9ECE-4283-8F88-88F32B3F80F4}"/>
            </c:ext>
          </c:extLst>
        </c:ser>
        <c:ser>
          <c:idx val="0"/>
          <c:order val="1"/>
          <c:tx>
            <c:v>réductions visées à long terme par parcours</c:v>
          </c:tx>
          <c:spPr>
            <a:solidFill>
              <a:srgbClr val="F6AB38"/>
            </a:solidFill>
            <a:ln w="12700">
              <a:solidFill>
                <a:srgbClr val="000000"/>
              </a:solidFill>
              <a:prstDash val="solid"/>
            </a:ln>
          </c:spPr>
          <c:invertIfNegative val="0"/>
          <c:cat>
            <c:strRef>
              <c:f>'Campus site 1'!$C$298:$C$301</c:f>
              <c:strCache>
                <c:ptCount val="4"/>
                <c:pt idx="0">
                  <c:v>Voiture</c:v>
                </c:pt>
                <c:pt idx="1">
                  <c:v>Autres modes routiers</c:v>
                </c:pt>
                <c:pt idx="2">
                  <c:v>Train</c:v>
                </c:pt>
                <c:pt idx="3">
                  <c:v>Avion</c:v>
                </c:pt>
              </c:strCache>
            </c:strRef>
          </c:cat>
          <c:val>
            <c:numRef>
              <c:f>'Campus site 1'!$N$298:$N$301</c:f>
              <c:numCache>
                <c:formatCode>#,##0</c:formatCode>
                <c:ptCount val="4"/>
                <c:pt idx="0">
                  <c:v>0</c:v>
                </c:pt>
                <c:pt idx="1">
                  <c:v>0</c:v>
                </c:pt>
                <c:pt idx="2">
                  <c:v>0</c:v>
                </c:pt>
                <c:pt idx="3">
                  <c:v>0</c:v>
                </c:pt>
              </c:numCache>
            </c:numRef>
          </c:val>
          <c:extLst>
            <c:ext xmlns:c16="http://schemas.microsoft.com/office/drawing/2014/chart" uri="{C3380CC4-5D6E-409C-BE32-E72D297353CC}">
              <c16:uniqueId val="{00000001-9ECE-4283-8F88-88F32B3F80F4}"/>
            </c:ext>
          </c:extLst>
        </c:ser>
        <c:dLbls>
          <c:showLegendKey val="0"/>
          <c:showVal val="0"/>
          <c:showCatName val="0"/>
          <c:showSerName val="0"/>
          <c:showPercent val="0"/>
          <c:showBubbleSize val="0"/>
        </c:dLbls>
        <c:gapWidth val="150"/>
        <c:overlap val="100"/>
        <c:axId val="314404496"/>
        <c:axId val="314405056"/>
      </c:barChart>
      <c:catAx>
        <c:axId val="314404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4405056"/>
        <c:crosses val="autoZero"/>
        <c:auto val="1"/>
        <c:lblAlgn val="ctr"/>
        <c:lblOffset val="100"/>
        <c:tickLblSkip val="1"/>
        <c:tickMarkSkip val="1"/>
        <c:noMultiLvlLbl val="0"/>
      </c:catAx>
      <c:valAx>
        <c:axId val="314405056"/>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4404496"/>
        <c:crosses val="autoZero"/>
        <c:crossBetween val="between"/>
      </c:valAx>
      <c:spPr>
        <a:noFill/>
        <a:ln w="25400">
          <a:noFill/>
        </a:ln>
      </c:spPr>
    </c:plotArea>
    <c:legend>
      <c:legendPos val="r"/>
      <c:layout>
        <c:manualLayout>
          <c:xMode val="edge"/>
          <c:yMode val="edge"/>
          <c:x val="0.63871810249763006"/>
          <c:y val="0.11234185614438644"/>
          <c:w val="0.35265124107643797"/>
          <c:h val="0.11234185614438644"/>
        </c:manualLayout>
      </c:layout>
      <c:overlay val="0"/>
      <c:spPr>
        <a:solidFill>
          <a:srgbClr val="FFFFFF"/>
        </a:solidFill>
        <a:ln w="3175">
          <a:solidFill>
            <a:srgbClr val="000000"/>
          </a:solidFill>
          <a:prstDash val="solid"/>
        </a:ln>
      </c:spPr>
      <c:txPr>
        <a:bodyPr/>
        <a:lstStyle/>
        <a:p>
          <a:pPr>
            <a:defRPr sz="101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3" footer="0.4921259845000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75" b="0" i="0" u="none" strike="noStrike" baseline="0">
                <a:solidFill>
                  <a:srgbClr val="000000"/>
                </a:solidFill>
                <a:latin typeface="Verdana"/>
                <a:ea typeface="Verdana"/>
                <a:cs typeface="Verdana"/>
              </a:defRPr>
            </a:pPr>
            <a:r>
              <a:rPr lang="fr-FR" sz="1200" b="1" i="0" u="none" strike="noStrike" baseline="0">
                <a:solidFill>
                  <a:srgbClr val="000000"/>
                </a:solidFill>
                <a:latin typeface="Verdana"/>
                <a:ea typeface="Verdana"/>
              </a:rPr>
              <a:t> Site 1 Campus, consommables et matériaux,</a:t>
            </a:r>
            <a:r>
              <a:rPr lang="fr-FR" sz="1075" b="1" i="0" u="none" strike="noStrike" baseline="0">
                <a:solidFill>
                  <a:srgbClr val="000000"/>
                </a:solidFill>
                <a:latin typeface="Verdana"/>
                <a:ea typeface="Verdana"/>
              </a:rPr>
              <a:t> </a:t>
            </a:r>
            <a:r>
              <a:rPr lang="fr-FR" sz="1100" b="1" i="0" u="none" strike="noStrike" baseline="0">
                <a:solidFill>
                  <a:sysClr val="windowText" lastClr="000000"/>
                </a:solidFill>
                <a:latin typeface="Verdana"/>
                <a:ea typeface="Verdana"/>
              </a:rPr>
              <a:t>tCO2e</a:t>
            </a:r>
          </a:p>
        </c:rich>
      </c:tx>
      <c:layout>
        <c:manualLayout>
          <c:xMode val="edge"/>
          <c:yMode val="edge"/>
          <c:x val="0.10735292686825444"/>
          <c:y val="1.1160766321532643E-2"/>
        </c:manualLayout>
      </c:layout>
      <c:overlay val="0"/>
      <c:spPr>
        <a:noFill/>
        <a:ln w="25400">
          <a:noFill/>
        </a:ln>
      </c:spPr>
    </c:title>
    <c:autoTitleDeleted val="0"/>
    <c:plotArea>
      <c:layout>
        <c:manualLayout>
          <c:layoutTarget val="inner"/>
          <c:xMode val="edge"/>
          <c:yMode val="edge"/>
          <c:x val="3.6539299187660114E-2"/>
          <c:y val="0.12713791571188346"/>
          <c:w val="0.9588416097175636"/>
          <c:h val="0.70260427103935597"/>
        </c:manualLayout>
      </c:layout>
      <c:barChart>
        <c:barDir val="col"/>
        <c:grouping val="clustered"/>
        <c:varyColors val="0"/>
        <c:ser>
          <c:idx val="0"/>
          <c:order val="0"/>
          <c:spPr>
            <a:solidFill>
              <a:schemeClr val="tx2">
                <a:lumMod val="40000"/>
                <a:lumOff val="60000"/>
              </a:schemeClr>
            </a:solidFill>
            <a:ln w="12700">
              <a:solidFill>
                <a:srgbClr val="000000"/>
              </a:solidFill>
              <a:prstDash val="solid"/>
            </a:ln>
          </c:spPr>
          <c:invertIfNegative val="0"/>
          <c:dLbls>
            <c:spPr>
              <a:noFill/>
              <a:ln w="25400">
                <a:noFill/>
              </a:ln>
            </c:spPr>
            <c:txPr>
              <a:bodyPr wrap="square" lIns="38100" tIns="19050" rIns="38100" bIns="19050" anchor="ctr">
                <a:spAutoFit/>
              </a:bodyPr>
              <a:lstStyle/>
              <a:p>
                <a:pPr>
                  <a:defRPr sz="925" b="1" i="0" u="none" strike="noStrike" baseline="0">
                    <a:solidFill>
                      <a:srgbClr val="000000"/>
                    </a:solidFill>
                    <a:latin typeface="Verdana"/>
                    <a:ea typeface="Verdana"/>
                    <a:cs typeface="Verdana"/>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1'!$J$427:$J$432</c:f>
                <c:numCache>
                  <c:formatCode>General</c:formatCode>
                  <c:ptCount val="6"/>
                  <c:pt idx="0">
                    <c:v>0.74652739999999995</c:v>
                  </c:pt>
                  <c:pt idx="1">
                    <c:v>0</c:v>
                  </c:pt>
                  <c:pt idx="2">
                    <c:v>0</c:v>
                  </c:pt>
                  <c:pt idx="3">
                    <c:v>0</c:v>
                  </c:pt>
                  <c:pt idx="4">
                    <c:v>0</c:v>
                  </c:pt>
                  <c:pt idx="5">
                    <c:v>0.56000000000000005</c:v>
                  </c:pt>
                </c:numCache>
              </c:numRef>
            </c:plus>
            <c:minus>
              <c:numRef>
                <c:f>'Campus site 1'!$J$427:$J$432</c:f>
                <c:numCache>
                  <c:formatCode>General</c:formatCode>
                  <c:ptCount val="6"/>
                  <c:pt idx="0">
                    <c:v>0.74652739999999995</c:v>
                  </c:pt>
                  <c:pt idx="1">
                    <c:v>0</c:v>
                  </c:pt>
                  <c:pt idx="2">
                    <c:v>0</c:v>
                  </c:pt>
                  <c:pt idx="3">
                    <c:v>0</c:v>
                  </c:pt>
                  <c:pt idx="4">
                    <c:v>0</c:v>
                  </c:pt>
                  <c:pt idx="5">
                    <c:v>0.56000000000000005</c:v>
                  </c:pt>
                </c:numCache>
              </c:numRef>
            </c:minus>
            <c:spPr>
              <a:gradFill rotWithShape="0">
                <a:gsLst>
                  <a:gs pos="0">
                    <a:srgbClr val="DD0806">
                      <a:gamma/>
                      <a:shade val="46275"/>
                      <a:invGamma/>
                    </a:srgbClr>
                  </a:gs>
                  <a:gs pos="100000">
                    <a:srgbClr val="DD0806"/>
                  </a:gs>
                </a:gsLst>
                <a:lin ang="5400000" scaled="1"/>
              </a:gradFill>
              <a:ln w="12700">
                <a:solidFill>
                  <a:srgbClr val="000000"/>
                </a:solidFill>
                <a:prstDash val="solid"/>
              </a:ln>
            </c:spPr>
          </c:errBars>
          <c:cat>
            <c:strRef>
              <c:f>'Campus site 1'!$C$427:$C$432</c:f>
              <c:strCache>
                <c:ptCount val="6"/>
                <c:pt idx="0">
                  <c:v>Métaux</c:v>
                </c:pt>
                <c:pt idx="1">
                  <c:v>Plastiques</c:v>
                </c:pt>
                <c:pt idx="2">
                  <c:v>Verres</c:v>
                </c:pt>
                <c:pt idx="3">
                  <c:v>Papiers et cartons</c:v>
                </c:pt>
                <c:pt idx="4">
                  <c:v>Produits chimiques &amp; textiles de synthèse</c:v>
                </c:pt>
                <c:pt idx="5">
                  <c:v>Autres (produits manufacturés ou services)</c:v>
                </c:pt>
              </c:strCache>
            </c:strRef>
          </c:cat>
          <c:val>
            <c:numRef>
              <c:f>'Campus site 1'!$E$427:$E$432</c:f>
              <c:numCache>
                <c:formatCode>#,##0</c:formatCode>
                <c:ptCount val="6"/>
                <c:pt idx="0">
                  <c:v>4.1562379999999992</c:v>
                </c:pt>
                <c:pt idx="1">
                  <c:v>0</c:v>
                </c:pt>
                <c:pt idx="2">
                  <c:v>0</c:v>
                </c:pt>
                <c:pt idx="3">
                  <c:v>18.361727999999999</c:v>
                </c:pt>
                <c:pt idx="4">
                  <c:v>0</c:v>
                </c:pt>
                <c:pt idx="5">
                  <c:v>6.1855000000000002</c:v>
                </c:pt>
              </c:numCache>
            </c:numRef>
          </c:val>
          <c:extLst>
            <c:ext xmlns:c16="http://schemas.microsoft.com/office/drawing/2014/chart" uri="{C3380CC4-5D6E-409C-BE32-E72D297353CC}">
              <c16:uniqueId val="{00000000-B7DA-4188-8BD6-684FC04626CE}"/>
            </c:ext>
          </c:extLst>
        </c:ser>
        <c:dLbls>
          <c:showLegendKey val="0"/>
          <c:showVal val="0"/>
          <c:showCatName val="0"/>
          <c:showSerName val="0"/>
          <c:showPercent val="0"/>
          <c:showBubbleSize val="0"/>
        </c:dLbls>
        <c:gapWidth val="150"/>
        <c:axId val="332630672"/>
        <c:axId val="332631232"/>
      </c:barChart>
      <c:catAx>
        <c:axId val="33263067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Verdana"/>
                <a:ea typeface="Verdana"/>
                <a:cs typeface="Verdana"/>
              </a:defRPr>
            </a:pPr>
            <a:endParaRPr lang="fr-FR"/>
          </a:p>
        </c:txPr>
        <c:crossAx val="332631232"/>
        <c:crosses val="autoZero"/>
        <c:auto val="1"/>
        <c:lblAlgn val="ctr"/>
        <c:lblOffset val="100"/>
        <c:tickLblSkip val="1"/>
        <c:tickMarkSkip val="1"/>
        <c:noMultiLvlLbl val="0"/>
      </c:catAx>
      <c:valAx>
        <c:axId val="332631232"/>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25" b="1" i="0" u="none" strike="noStrike" baseline="0">
                <a:solidFill>
                  <a:srgbClr val="000000"/>
                </a:solidFill>
                <a:latin typeface="Verdana"/>
                <a:ea typeface="Verdana"/>
                <a:cs typeface="Verdana"/>
              </a:defRPr>
            </a:pPr>
            <a:endParaRPr lang="fr-FR"/>
          </a:p>
        </c:txPr>
        <c:crossAx val="332630672"/>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975" b="0" i="0" u="none" strike="noStrike" baseline="0">
          <a:solidFill>
            <a:srgbClr val="000000"/>
          </a:solidFill>
          <a:latin typeface="Verdana"/>
          <a:ea typeface="Verdana"/>
          <a:cs typeface="Verdana"/>
        </a:defRPr>
      </a:pPr>
      <a:endParaRPr lang="fr-FR"/>
    </a:p>
  </c:txPr>
  <c:printSettings>
    <c:headerFooter alignWithMargins="0">
      <c:oddFooter>&amp;LCalcul des émissions de gaz à effet de serre&amp;RRubrique &amp;A, page &amp;P, édité le &amp;D </c:oddFooter>
    </c:headerFooter>
    <c:pageMargins b="0.98425196899999956" l="0.78740157499999996" r="0.78740157499999996" t="0.98425196899999956" header="0.49212598450000289" footer="0.49212598450000289"/>
    <c:pageSetup paperSize="9" orientation="landscape" horizontalDpi="-4" verticalDpi="-4"/>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75"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cs typeface="Verdana"/>
              </a:rPr>
              <a:t>Site 1 Campus, consommables et matériaux, réductions</a:t>
            </a:r>
            <a:r>
              <a:rPr lang="fr-FR" sz="950" b="1" i="0" u="none" strike="noStrike" baseline="0">
                <a:solidFill>
                  <a:srgbClr val="000000"/>
                </a:solidFill>
                <a:latin typeface="Verdana"/>
                <a:ea typeface="Verdana"/>
                <a:cs typeface="Verdana"/>
              </a:rPr>
              <a:t> et ém</a:t>
            </a:r>
            <a:r>
              <a:rPr lang="fr-FR" sz="900" b="0" i="0" u="none" strike="noStrike" baseline="0">
                <a:solidFill>
                  <a:srgbClr val="000000"/>
                </a:solidFill>
                <a:latin typeface="Geneva"/>
                <a:ea typeface="Verdana"/>
                <a:cs typeface="Verdana"/>
              </a:rPr>
              <a:t>°</a:t>
            </a:r>
            <a:r>
              <a:rPr lang="fr-FR" sz="950" b="1" i="0" u="none" strike="noStrike" baseline="0">
                <a:solidFill>
                  <a:srgbClr val="000000"/>
                </a:solidFill>
                <a:latin typeface="Verdana"/>
                <a:ea typeface="Verdana"/>
                <a:cs typeface="Verdana"/>
              </a:rPr>
              <a:t> résiduelles</a:t>
            </a:r>
            <a:r>
              <a:rPr lang="fr-FR" sz="1000" b="1" i="0" u="none" strike="noStrike" baseline="0">
                <a:solidFill>
                  <a:srgbClr val="000000"/>
                </a:solidFill>
                <a:latin typeface="Verdana"/>
                <a:ea typeface="Verdana"/>
                <a:cs typeface="Verdana"/>
              </a:rPr>
              <a:t>,</a:t>
            </a:r>
            <a:r>
              <a:rPr lang="fr-FR" sz="950" b="1" i="0" u="none" strike="noStrike" baseline="0">
                <a:solidFill>
                  <a:srgbClr val="000000"/>
                </a:solidFill>
                <a:latin typeface="Verdana"/>
                <a:ea typeface="Verdana"/>
                <a:cs typeface="Verdana"/>
              </a:rPr>
              <a:t> </a:t>
            </a:r>
            <a:r>
              <a:rPr lang="fr-FR" sz="1000" b="1" i="0" u="none" strike="noStrike" baseline="0">
                <a:solidFill>
                  <a:srgbClr val="000000"/>
                </a:solidFill>
                <a:latin typeface="Verdana"/>
                <a:ea typeface="Verdana"/>
                <a:cs typeface="Verdana"/>
              </a:rPr>
              <a:t>tCO2e</a:t>
            </a:r>
            <a:endParaRPr lang="fr-FR" sz="950" b="1" i="0" u="none" strike="noStrike" baseline="0">
              <a:solidFill>
                <a:srgbClr val="DD0806"/>
              </a:solidFill>
              <a:latin typeface="Verdana"/>
              <a:ea typeface="Verdana"/>
              <a:cs typeface="Verdana"/>
            </a:endParaRPr>
          </a:p>
        </c:rich>
      </c:tx>
      <c:layout>
        <c:manualLayout>
          <c:xMode val="edge"/>
          <c:yMode val="edge"/>
          <c:x val="0.13585454434474759"/>
          <c:y val="1.1013008170216967E-2"/>
        </c:manualLayout>
      </c:layout>
      <c:overlay val="0"/>
      <c:spPr>
        <a:noFill/>
        <a:ln w="25400">
          <a:noFill/>
        </a:ln>
      </c:spPr>
    </c:title>
    <c:autoTitleDeleted val="0"/>
    <c:plotArea>
      <c:layout>
        <c:manualLayout>
          <c:layoutTarget val="inner"/>
          <c:xMode val="edge"/>
          <c:yMode val="edge"/>
          <c:x val="3.8799111214556162E-2"/>
          <c:y val="9.3126385809312637E-2"/>
          <c:w val="0.95612095493013405"/>
          <c:h val="0.73835920177383596"/>
        </c:manualLayout>
      </c:layout>
      <c:barChart>
        <c:barDir val="col"/>
        <c:grouping val="stacked"/>
        <c:varyColors val="0"/>
        <c:ser>
          <c:idx val="1"/>
          <c:order val="0"/>
          <c:tx>
            <c:v>émissions résiduelles</c:v>
          </c:tx>
          <c:spPr>
            <a:solidFill>
              <a:schemeClr val="tx2">
                <a:lumMod val="40000"/>
                <a:lumOff val="60000"/>
              </a:schemeClr>
            </a:solidFill>
            <a:ln w="12700">
              <a:solidFill>
                <a:srgbClr val="000000"/>
              </a:solidFill>
              <a:prstDash val="solid"/>
            </a:ln>
          </c:spPr>
          <c:invertIfNegative val="0"/>
          <c:cat>
            <c:strRef>
              <c:f>'Campus site 1'!$C$427:$C$432</c:f>
              <c:strCache>
                <c:ptCount val="6"/>
                <c:pt idx="0">
                  <c:v>Métaux</c:v>
                </c:pt>
                <c:pt idx="1">
                  <c:v>Plastiques</c:v>
                </c:pt>
                <c:pt idx="2">
                  <c:v>Verres</c:v>
                </c:pt>
                <c:pt idx="3">
                  <c:v>Papiers et cartons</c:v>
                </c:pt>
                <c:pt idx="4">
                  <c:v>Produits chimiques &amp; textiles de synthèse</c:v>
                </c:pt>
                <c:pt idx="5">
                  <c:v>Autres (produits manufacturés ou services)</c:v>
                </c:pt>
              </c:strCache>
            </c:strRef>
          </c:cat>
          <c:val>
            <c:numRef>
              <c:f>'Campus site 1'!$P$427:$P$432</c:f>
              <c:numCache>
                <c:formatCode>#,##0</c:formatCode>
                <c:ptCount val="6"/>
                <c:pt idx="0">
                  <c:v>4.1562379999999992</c:v>
                </c:pt>
                <c:pt idx="1">
                  <c:v>0</c:v>
                </c:pt>
                <c:pt idx="2">
                  <c:v>0</c:v>
                </c:pt>
                <c:pt idx="3">
                  <c:v>18.361727999999999</c:v>
                </c:pt>
                <c:pt idx="4">
                  <c:v>0</c:v>
                </c:pt>
                <c:pt idx="5">
                  <c:v>6.1855000000000002</c:v>
                </c:pt>
              </c:numCache>
            </c:numRef>
          </c:val>
          <c:extLst>
            <c:ext xmlns:c16="http://schemas.microsoft.com/office/drawing/2014/chart" uri="{C3380CC4-5D6E-409C-BE32-E72D297353CC}">
              <c16:uniqueId val="{00000000-07EB-4217-BC0C-38735C4384DB}"/>
            </c:ext>
          </c:extLst>
        </c:ser>
        <c:ser>
          <c:idx val="0"/>
          <c:order val="1"/>
          <c:tx>
            <c:v>réductions visées à long terme</c:v>
          </c:tx>
          <c:spPr>
            <a:solidFill>
              <a:srgbClr val="F6AB38"/>
            </a:solidFill>
            <a:ln w="12700">
              <a:solidFill>
                <a:srgbClr val="000000"/>
              </a:solidFill>
              <a:prstDash val="solid"/>
            </a:ln>
          </c:spPr>
          <c:invertIfNegative val="0"/>
          <c:cat>
            <c:strRef>
              <c:f>'Campus site 1'!$C$427:$C$432</c:f>
              <c:strCache>
                <c:ptCount val="6"/>
                <c:pt idx="0">
                  <c:v>Métaux</c:v>
                </c:pt>
                <c:pt idx="1">
                  <c:v>Plastiques</c:v>
                </c:pt>
                <c:pt idx="2">
                  <c:v>Verres</c:v>
                </c:pt>
                <c:pt idx="3">
                  <c:v>Papiers et cartons</c:v>
                </c:pt>
                <c:pt idx="4">
                  <c:v>Produits chimiques &amp; textiles de synthèse</c:v>
                </c:pt>
                <c:pt idx="5">
                  <c:v>Autres (produits manufacturés ou services)</c:v>
                </c:pt>
              </c:strCache>
            </c:strRef>
          </c:cat>
          <c:val>
            <c:numRef>
              <c:f>'Campus site 1'!$N$427:$N$432</c:f>
              <c:numCache>
                <c:formatCode>#,##0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7EB-4217-BC0C-38735C4384DB}"/>
            </c:ext>
          </c:extLst>
        </c:ser>
        <c:dLbls>
          <c:showLegendKey val="0"/>
          <c:showVal val="0"/>
          <c:showCatName val="0"/>
          <c:showSerName val="0"/>
          <c:showPercent val="0"/>
          <c:showBubbleSize val="0"/>
        </c:dLbls>
        <c:gapWidth val="150"/>
        <c:overlap val="100"/>
        <c:axId val="48570624"/>
        <c:axId val="48571184"/>
      </c:barChart>
      <c:catAx>
        <c:axId val="485706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Verdana"/>
                <a:ea typeface="Verdana"/>
                <a:cs typeface="Verdana"/>
              </a:defRPr>
            </a:pPr>
            <a:endParaRPr lang="fr-FR"/>
          </a:p>
        </c:txPr>
        <c:crossAx val="48571184"/>
        <c:crosses val="autoZero"/>
        <c:auto val="1"/>
        <c:lblAlgn val="ctr"/>
        <c:lblOffset val="100"/>
        <c:tickLblSkip val="1"/>
        <c:tickMarkSkip val="1"/>
        <c:noMultiLvlLbl val="0"/>
      </c:catAx>
      <c:valAx>
        <c:axId val="48571184"/>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925" b="1" i="0" u="none" strike="noStrike" baseline="0">
                <a:solidFill>
                  <a:srgbClr val="000000"/>
                </a:solidFill>
                <a:latin typeface="Verdana"/>
                <a:ea typeface="Verdana"/>
                <a:cs typeface="Verdana"/>
              </a:defRPr>
            </a:pPr>
            <a:endParaRPr lang="fr-FR"/>
          </a:p>
        </c:txPr>
        <c:crossAx val="48570624"/>
        <c:crosses val="autoZero"/>
        <c:crossBetween val="between"/>
      </c:valAx>
      <c:spPr>
        <a:noFill/>
        <a:ln w="25400">
          <a:noFill/>
        </a:ln>
      </c:spPr>
    </c:plotArea>
    <c:legend>
      <c:legendPos val="r"/>
      <c:layout>
        <c:manualLayout>
          <c:xMode val="edge"/>
          <c:yMode val="edge"/>
          <c:x val="6.5080070369755799E-2"/>
          <c:y val="0.18223683460554246"/>
          <c:w val="0.4412055179149118"/>
          <c:h val="0.1221020413200701"/>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175" b="1" i="0" u="none" strike="noStrike" baseline="0">
          <a:solidFill>
            <a:srgbClr val="000000"/>
          </a:solidFill>
          <a:latin typeface="Verdana"/>
          <a:ea typeface="Verdana"/>
          <a:cs typeface="Verdana"/>
        </a:defRPr>
      </a:pPr>
      <a:endParaRPr lang="fr-FR"/>
    </a:p>
  </c:txPr>
  <c:printSettings>
    <c:headerFooter alignWithMargins="0"/>
    <c:pageMargins b="0.98425196899999956" l="0.78740157499999996" r="0.78740157499999996" t="0.98425196899999956" header="0.49212598450000289" footer="0.49212598450000289"/>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0" i="0" u="none" strike="noStrike" baseline="0">
                <a:solidFill>
                  <a:srgbClr val="000000"/>
                </a:solidFill>
                <a:latin typeface="Arial"/>
                <a:ea typeface="Arial"/>
                <a:cs typeface="Arial"/>
              </a:defRPr>
            </a:pPr>
            <a:r>
              <a:rPr lang="fr-FR" sz="1450" b="1" i="0" u="none" strike="noStrike" baseline="0">
                <a:solidFill>
                  <a:srgbClr val="000000"/>
                </a:solidFill>
                <a:latin typeface="Arial"/>
                <a:cs typeface="Arial"/>
              </a:rPr>
              <a:t>Emissions par poste, tCO2e</a:t>
            </a:r>
            <a:br>
              <a:rPr lang="fr-FR" sz="1450" b="1" i="0" u="none" strike="noStrike" baseline="0">
                <a:solidFill>
                  <a:srgbClr val="000000"/>
                </a:solidFill>
                <a:latin typeface="Arial"/>
                <a:cs typeface="Arial"/>
              </a:rPr>
            </a:br>
            <a:r>
              <a:rPr lang="fr-FR" sz="1075" b="1" i="0" u="none" strike="noStrike" baseline="0">
                <a:solidFill>
                  <a:srgbClr val="000000"/>
                </a:solidFill>
                <a:latin typeface="Arial"/>
                <a:cs typeface="Arial"/>
              </a:rPr>
              <a:t>Réalisé dans le cadre de la démarche Bilan Carbone® Campus</a:t>
            </a:r>
          </a:p>
        </c:rich>
      </c:tx>
      <c:layout>
        <c:manualLayout>
          <c:xMode val="edge"/>
          <c:yMode val="edge"/>
          <c:x val="0.15859756874012929"/>
          <c:y val="5.0238256412050888E-2"/>
        </c:manualLayout>
      </c:layout>
      <c:overlay val="0"/>
      <c:spPr>
        <a:noFill/>
        <a:ln w="25400">
          <a:noFill/>
        </a:ln>
      </c:spPr>
    </c:title>
    <c:autoTitleDeleted val="0"/>
    <c:plotArea>
      <c:layout>
        <c:manualLayout>
          <c:layoutTarget val="inner"/>
          <c:xMode val="edge"/>
          <c:yMode val="edge"/>
          <c:x val="4.9160219588715234E-2"/>
          <c:y val="0.21316411094701138"/>
          <c:w val="0.93404417218558944"/>
          <c:h val="0.6484676638282767"/>
        </c:manualLayout>
      </c:layout>
      <c:barChart>
        <c:barDir val="col"/>
        <c:grouping val="clustered"/>
        <c:varyColors val="0"/>
        <c:ser>
          <c:idx val="3"/>
          <c:order val="0"/>
          <c:spPr>
            <a:solidFill>
              <a:schemeClr val="accent2">
                <a:lumMod val="40000"/>
                <a:lumOff val="60000"/>
              </a:schemeClr>
            </a:solidFill>
            <a:ln w="12700">
              <a:solidFill>
                <a:srgbClr val="000000"/>
              </a:solidFill>
              <a:prstDash val="solid"/>
            </a:ln>
          </c:spPr>
          <c:invertIfNegative val="0"/>
          <c:dPt>
            <c:idx val="0"/>
            <c:invertIfNegative val="0"/>
            <c:bubble3D val="0"/>
            <c:extLst>
              <c:ext xmlns:c16="http://schemas.microsoft.com/office/drawing/2014/chart" uri="{C3380CC4-5D6E-409C-BE32-E72D297353CC}">
                <c16:uniqueId val="{00000006-E510-4830-A22C-441D1AC7386E}"/>
              </c:ext>
            </c:extLst>
          </c:dPt>
          <c:dPt>
            <c:idx val="1"/>
            <c:invertIfNegative val="0"/>
            <c:bubble3D val="0"/>
            <c:extLst>
              <c:ext xmlns:c16="http://schemas.microsoft.com/office/drawing/2014/chart" uri="{C3380CC4-5D6E-409C-BE32-E72D297353CC}">
                <c16:uniqueId val="{00000005-E510-4830-A22C-441D1AC7386E}"/>
              </c:ext>
            </c:extLst>
          </c:dPt>
          <c:dPt>
            <c:idx val="2"/>
            <c:invertIfNegative val="0"/>
            <c:bubble3D val="0"/>
            <c:extLst>
              <c:ext xmlns:c16="http://schemas.microsoft.com/office/drawing/2014/chart" uri="{C3380CC4-5D6E-409C-BE32-E72D297353CC}">
                <c16:uniqueId val="{00000004-E510-4830-A22C-441D1AC7386E}"/>
              </c:ext>
            </c:extLst>
          </c:dPt>
          <c:dPt>
            <c:idx val="3"/>
            <c:invertIfNegative val="0"/>
            <c:bubble3D val="0"/>
            <c:extLst>
              <c:ext xmlns:c16="http://schemas.microsoft.com/office/drawing/2014/chart" uri="{C3380CC4-5D6E-409C-BE32-E72D297353CC}">
                <c16:uniqueId val="{00000003-E510-4830-A22C-441D1AC7386E}"/>
              </c:ext>
            </c:extLst>
          </c:dPt>
          <c:dPt>
            <c:idx val="4"/>
            <c:invertIfNegative val="0"/>
            <c:bubble3D val="0"/>
            <c:extLst>
              <c:ext xmlns:c16="http://schemas.microsoft.com/office/drawing/2014/chart" uri="{C3380CC4-5D6E-409C-BE32-E72D297353CC}">
                <c16:uniqueId val="{00000002-E510-4830-A22C-441D1AC7386E}"/>
              </c:ext>
            </c:extLst>
          </c:dPt>
          <c:dPt>
            <c:idx val="5"/>
            <c:invertIfNegative val="0"/>
            <c:bubble3D val="0"/>
            <c:extLst>
              <c:ext xmlns:c16="http://schemas.microsoft.com/office/drawing/2014/chart" uri="{C3380CC4-5D6E-409C-BE32-E72D297353CC}">
                <c16:uniqueId val="{00000001-E510-4830-A22C-441D1AC7386E}"/>
              </c:ext>
            </c:extLst>
          </c:dPt>
          <c:dPt>
            <c:idx val="6"/>
            <c:invertIfNegative val="0"/>
            <c:bubble3D val="0"/>
            <c:extLst>
              <c:ext xmlns:c16="http://schemas.microsoft.com/office/drawing/2014/chart" uri="{C3380CC4-5D6E-409C-BE32-E72D297353CC}">
                <c16:uniqueId val="{00000000-E510-4830-A22C-441D1AC7386E}"/>
              </c:ext>
            </c:extLst>
          </c:dPt>
          <c:dLbls>
            <c:spPr>
              <a:noFill/>
              <a:ln w="25400">
                <a:noFill/>
              </a:ln>
            </c:spPr>
            <c:txPr>
              <a:bodyPr wrap="square" lIns="38100" tIns="19050" rIns="38100" bIns="19050" anchor="ctr">
                <a:spAutoFit/>
              </a:bodyPr>
              <a:lstStyle/>
              <a:p>
                <a:pPr>
                  <a:defRPr sz="1200" b="1" i="0" u="none" strike="noStrike" baseline="0">
                    <a:solidFill>
                      <a:srgbClr val="000000"/>
                    </a:solidFill>
                    <a:latin typeface="Arial"/>
                    <a:ea typeface="Arial"/>
                    <a:cs typeface="Arial"/>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1'!$J$788:$J$794</c:f>
                <c:numCache>
                  <c:formatCode>General</c:formatCode>
                  <c:ptCount val="7"/>
                  <c:pt idx="0">
                    <c:v>144.94191900000004</c:v>
                  </c:pt>
                  <c:pt idx="1">
                    <c:v>22.926399999999997</c:v>
                  </c:pt>
                  <c:pt idx="2">
                    <c:v>325.96951199999995</c:v>
                  </c:pt>
                  <c:pt idx="3">
                    <c:v>1.3065274</c:v>
                  </c:pt>
                  <c:pt idx="4">
                    <c:v>228.58199999999999</c:v>
                  </c:pt>
                  <c:pt idx="5">
                    <c:v>1.4622024999999996</c:v>
                  </c:pt>
                  <c:pt idx="6">
                    <c:v>189.52294333333333</c:v>
                  </c:pt>
                </c:numCache>
              </c:numRef>
            </c:plus>
            <c:minus>
              <c:numRef>
                <c:f>'Campus site 1'!$J$788:$J$794</c:f>
                <c:numCache>
                  <c:formatCode>General</c:formatCode>
                  <c:ptCount val="7"/>
                  <c:pt idx="0">
                    <c:v>144.94191900000004</c:v>
                  </c:pt>
                  <c:pt idx="1">
                    <c:v>22.926399999999997</c:v>
                  </c:pt>
                  <c:pt idx="2">
                    <c:v>325.96951199999995</c:v>
                  </c:pt>
                  <c:pt idx="3">
                    <c:v>1.3065274</c:v>
                  </c:pt>
                  <c:pt idx="4">
                    <c:v>228.58199999999999</c:v>
                  </c:pt>
                  <c:pt idx="5">
                    <c:v>1.4622024999999996</c:v>
                  </c:pt>
                  <c:pt idx="6">
                    <c:v>189.52294333333333</c:v>
                  </c:pt>
                </c:numCache>
              </c:numRef>
            </c:minus>
            <c:spPr>
              <a:ln w="12700">
                <a:solidFill>
                  <a:srgbClr val="000000"/>
                </a:solidFill>
                <a:prstDash val="solid"/>
              </a:ln>
            </c:spPr>
          </c:errBars>
          <c:cat>
            <c:strRef>
              <c:f>'Campus site 1'!$C$788:$C$794</c:f>
              <c:strCache>
                <c:ptCount val="7"/>
                <c:pt idx="0">
                  <c:v>Sources fixes</c:v>
                </c:pt>
                <c:pt idx="1">
                  <c:v>Fret</c:v>
                </c:pt>
                <c:pt idx="2">
                  <c:v>Déplacement de personnes</c:v>
                </c:pt>
                <c:pt idx="3">
                  <c:v>Consommables et matériaux</c:v>
                </c:pt>
                <c:pt idx="4">
                  <c:v>Restaurant Universitaire</c:v>
                </c:pt>
                <c:pt idx="5">
                  <c:v>Déchets directs</c:v>
                </c:pt>
                <c:pt idx="6">
                  <c:v>Immobilisations</c:v>
                </c:pt>
              </c:strCache>
            </c:strRef>
          </c:cat>
          <c:val>
            <c:numRef>
              <c:f>'Campus site 1'!$F$788:$F$794</c:f>
              <c:numCache>
                <c:formatCode>#,##0</c:formatCode>
                <c:ptCount val="7"/>
                <c:pt idx="0">
                  <c:v>1253.9631899999999</c:v>
                </c:pt>
                <c:pt idx="1">
                  <c:v>32.752000000000002</c:v>
                </c:pt>
                <c:pt idx="2">
                  <c:v>490.43616000000003</c:v>
                </c:pt>
                <c:pt idx="3">
                  <c:v>28.703465999999999</c:v>
                </c:pt>
                <c:pt idx="4">
                  <c:v>457.16399999999999</c:v>
                </c:pt>
                <c:pt idx="5">
                  <c:v>7.2231549999999993</c:v>
                </c:pt>
                <c:pt idx="6">
                  <c:v>396.34573333333333</c:v>
                </c:pt>
              </c:numCache>
            </c:numRef>
          </c:val>
          <c:extLst>
            <c:ext xmlns:c16="http://schemas.microsoft.com/office/drawing/2014/chart" uri="{C3380CC4-5D6E-409C-BE32-E72D297353CC}">
              <c16:uniqueId val="{00000000-9AF6-4542-A264-EDE92EB6AF63}"/>
            </c:ext>
          </c:extLst>
        </c:ser>
        <c:dLbls>
          <c:showLegendKey val="0"/>
          <c:showVal val="0"/>
          <c:showCatName val="0"/>
          <c:showSerName val="0"/>
          <c:showPercent val="0"/>
          <c:showBubbleSize val="0"/>
        </c:dLbls>
        <c:gapWidth val="150"/>
        <c:axId val="48573424"/>
        <c:axId val="48573984"/>
      </c:barChart>
      <c:catAx>
        <c:axId val="48573424"/>
        <c:scaling>
          <c:orientation val="minMax"/>
        </c:scaling>
        <c:delete val="0"/>
        <c:axPos val="b"/>
        <c:numFmt formatCode="General" sourceLinked="1"/>
        <c:majorTickMark val="cross"/>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fr-FR"/>
          </a:p>
        </c:txPr>
        <c:crossAx val="48573984"/>
        <c:crossesAt val="0"/>
        <c:auto val="1"/>
        <c:lblAlgn val="ctr"/>
        <c:lblOffset val="100"/>
        <c:tickLblSkip val="1"/>
        <c:tickMarkSkip val="1"/>
        <c:noMultiLvlLbl val="0"/>
      </c:catAx>
      <c:valAx>
        <c:axId val="48573984"/>
        <c:scaling>
          <c:orientation val="minMax"/>
        </c:scaling>
        <c:delete val="0"/>
        <c:axPos val="l"/>
        <c:majorGridlines>
          <c:spPr>
            <a:ln w="3175">
              <a:solidFill>
                <a:srgbClr val="000000"/>
              </a:solidFill>
              <a:prstDash val="solid"/>
            </a:ln>
          </c:spPr>
        </c:majorGridlines>
        <c:numFmt formatCode="#,##0" sourceLinked="1"/>
        <c:majorTickMark val="cross"/>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fr-FR"/>
          </a:p>
        </c:txPr>
        <c:crossAx val="48573424"/>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fr-FR"/>
    </a:p>
  </c:txPr>
  <c:printSettings>
    <c:headerFooter alignWithMargins="0">
      <c:oddHeader>&amp;CRéalisé dans le cadre de la démarche Bilan Carbone™ Campus</c:oddHeader>
    </c:headerFooter>
    <c:pageMargins b="0.984251969" l="0.78740157499999996" r="0.78740157499999996" t="0.984251969" header="0.4921259845" footer="0.4921259845"/>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Restaurant Universitaire</a:t>
            </a:r>
          </a:p>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 tCO2e</a:t>
            </a:r>
            <a:endParaRPr lang="fr-FR" sz="1000" b="1" i="0" u="none" strike="noStrike" baseline="0">
              <a:solidFill>
                <a:srgbClr val="DD0806"/>
              </a:solidFill>
              <a:latin typeface="Verdana"/>
              <a:ea typeface="Verdana"/>
            </a:endParaRPr>
          </a:p>
        </c:rich>
      </c:tx>
      <c:layout>
        <c:manualLayout>
          <c:xMode val="edge"/>
          <c:yMode val="edge"/>
          <c:x val="0.35607939632545932"/>
          <c:y val="2.4340661771211181E-2"/>
        </c:manualLayout>
      </c:layout>
      <c:overlay val="0"/>
      <c:spPr>
        <a:noFill/>
        <a:ln w="25400">
          <a:noFill/>
        </a:ln>
      </c:spPr>
    </c:title>
    <c:autoTitleDeleted val="0"/>
    <c:plotArea>
      <c:layout>
        <c:manualLayout>
          <c:layoutTarget val="inner"/>
          <c:xMode val="edge"/>
          <c:yMode val="edge"/>
          <c:x val="3.9653035935563817E-2"/>
          <c:y val="0.11844808124159882"/>
          <c:w val="0.95539033457249067"/>
          <c:h val="0.77603915296219916"/>
        </c:manualLayout>
      </c:layout>
      <c:barChart>
        <c:barDir val="col"/>
        <c:grouping val="clustered"/>
        <c:varyColors val="0"/>
        <c:ser>
          <c:idx val="0"/>
          <c:order val="0"/>
          <c:spPr>
            <a:solidFill>
              <a:schemeClr val="tx2">
                <a:lumMod val="40000"/>
                <a:lumOff val="60000"/>
              </a:schemeClr>
            </a:solidFill>
            <a:ln w="12700">
              <a:solidFill>
                <a:srgbClr val="000000"/>
              </a:solidFill>
              <a:prstDash val="solid"/>
            </a:ln>
          </c:spPr>
          <c:invertIfNegative val="0"/>
          <c:dPt>
            <c:idx val="0"/>
            <c:invertIfNegative val="0"/>
            <c:bubble3D val="0"/>
            <c:extLst>
              <c:ext xmlns:c16="http://schemas.microsoft.com/office/drawing/2014/chart" uri="{C3380CC4-5D6E-409C-BE32-E72D297353CC}">
                <c16:uniqueId val="{00000000-CFCE-4E06-8661-D156D5C7EF91}"/>
              </c:ext>
            </c:extLst>
          </c:dPt>
          <c:dPt>
            <c:idx val="1"/>
            <c:invertIfNegative val="0"/>
            <c:bubble3D val="0"/>
            <c:extLst>
              <c:ext xmlns:c16="http://schemas.microsoft.com/office/drawing/2014/chart" uri="{C3380CC4-5D6E-409C-BE32-E72D297353CC}">
                <c16:uniqueId val="{00000001-CFCE-4E06-8661-D156D5C7EF91}"/>
              </c:ext>
            </c:extLst>
          </c:dPt>
          <c:dPt>
            <c:idx val="2"/>
            <c:invertIfNegative val="0"/>
            <c:bubble3D val="0"/>
            <c:extLst>
              <c:ext xmlns:c16="http://schemas.microsoft.com/office/drawing/2014/chart" uri="{C3380CC4-5D6E-409C-BE32-E72D297353CC}">
                <c16:uniqueId val="{00000002-CFCE-4E06-8661-D156D5C7EF91}"/>
              </c:ext>
            </c:extLst>
          </c:dPt>
          <c:dLbls>
            <c:numFmt formatCode="0" sourceLinked="0"/>
            <c:spPr>
              <a:noFill/>
              <a:ln w="25400">
                <a:noFill/>
              </a:ln>
            </c:spPr>
            <c:txPr>
              <a:bodyPr wrap="square" lIns="38100" tIns="19050" rIns="38100" bIns="19050" anchor="t" anchorCtr="1">
                <a:spAutoFit/>
              </a:bodyPr>
              <a:lstStyle/>
              <a:p>
                <a:pPr>
                  <a:defRPr sz="1000" b="1" i="0" u="none" strike="noStrike" baseline="0">
                    <a:solidFill>
                      <a:srgbClr val="000000"/>
                    </a:solidFill>
                    <a:latin typeface="Verdana"/>
                    <a:ea typeface="Verdana"/>
                    <a:cs typeface="Verdana"/>
                  </a:defRPr>
                </a:pPr>
                <a:endParaRPr lang="fr-FR"/>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'Campus site 1'!$I$566:$I$568</c:f>
                <c:numCache>
                  <c:formatCode>General</c:formatCode>
                  <c:ptCount val="3"/>
                  <c:pt idx="0">
                    <c:v>0</c:v>
                  </c:pt>
                  <c:pt idx="1">
                    <c:v>0</c:v>
                  </c:pt>
                  <c:pt idx="2">
                    <c:v>228.58199999999999</c:v>
                  </c:pt>
                </c:numCache>
              </c:numRef>
            </c:plus>
            <c:minus>
              <c:numRef>
                <c:f>'Campus site 1'!$I$566:$I$568</c:f>
                <c:numCache>
                  <c:formatCode>General</c:formatCode>
                  <c:ptCount val="3"/>
                  <c:pt idx="0">
                    <c:v>0</c:v>
                  </c:pt>
                  <c:pt idx="1">
                    <c:v>0</c:v>
                  </c:pt>
                  <c:pt idx="2">
                    <c:v>228.58199999999999</c:v>
                  </c:pt>
                </c:numCache>
              </c:numRef>
            </c:minus>
            <c:spPr>
              <a:ln w="12700">
                <a:solidFill>
                  <a:srgbClr val="000000"/>
                </a:solidFill>
                <a:prstDash val="solid"/>
              </a:ln>
            </c:spPr>
          </c:errBars>
          <c:cat>
            <c:strRef>
              <c:f>'Campus site 1'!$C$566:$C$568</c:f>
              <c:strCache>
                <c:ptCount val="3"/>
                <c:pt idx="0">
                  <c:v>Viandes et poissons</c:v>
                </c:pt>
                <c:pt idx="1">
                  <c:v>Autres produits alimentaires</c:v>
                </c:pt>
                <c:pt idx="2">
                  <c:v>Repas</c:v>
                </c:pt>
              </c:strCache>
            </c:strRef>
          </c:cat>
          <c:val>
            <c:numRef>
              <c:f>'Campus site 1'!$E$566:$E$568</c:f>
              <c:numCache>
                <c:formatCode>#,##0</c:formatCode>
                <c:ptCount val="3"/>
                <c:pt idx="0">
                  <c:v>0</c:v>
                </c:pt>
                <c:pt idx="1">
                  <c:v>0</c:v>
                </c:pt>
                <c:pt idx="2">
                  <c:v>457.16399999999999</c:v>
                </c:pt>
              </c:numCache>
            </c:numRef>
          </c:val>
          <c:extLst>
            <c:ext xmlns:c16="http://schemas.microsoft.com/office/drawing/2014/chart" uri="{C3380CC4-5D6E-409C-BE32-E72D297353CC}">
              <c16:uniqueId val="{00000003-CFCE-4E06-8661-D156D5C7EF91}"/>
            </c:ext>
          </c:extLst>
        </c:ser>
        <c:dLbls>
          <c:showLegendKey val="0"/>
          <c:showVal val="0"/>
          <c:showCatName val="0"/>
          <c:showSerName val="0"/>
          <c:showPercent val="0"/>
          <c:showBubbleSize val="0"/>
        </c:dLbls>
        <c:gapWidth val="150"/>
        <c:axId val="310314992"/>
        <c:axId val="310315552"/>
      </c:barChart>
      <c:catAx>
        <c:axId val="310314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0315552"/>
        <c:crosses val="autoZero"/>
        <c:auto val="1"/>
        <c:lblAlgn val="ctr"/>
        <c:lblOffset val="100"/>
        <c:tickLblSkip val="1"/>
        <c:tickMarkSkip val="1"/>
        <c:noMultiLvlLbl val="0"/>
      </c:catAx>
      <c:valAx>
        <c:axId val="310315552"/>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10314992"/>
        <c:crosses val="autoZero"/>
        <c:crossBetween val="between"/>
      </c:valAx>
      <c:spPr>
        <a:noFill/>
        <a:ln w="25400">
          <a:noFill/>
        </a:ln>
      </c:spPr>
    </c:plotArea>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9" l="0.78740157499999996" r="0.78740157499999996" t="0.984251969" header="0.4921259845" footer="0.4921259845"/>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1" i="0" u="none" strike="noStrike" baseline="0">
                <a:solidFill>
                  <a:srgbClr val="000000"/>
                </a:solidFill>
                <a:latin typeface="Verdana"/>
                <a:ea typeface="Verdana"/>
                <a:cs typeface="Verdana"/>
              </a:defRPr>
            </a:pPr>
            <a:r>
              <a:rPr lang="fr-FR" sz="1000" b="1" i="0" u="none" strike="noStrike" baseline="0">
                <a:solidFill>
                  <a:srgbClr val="000000"/>
                </a:solidFill>
                <a:latin typeface="Verdana"/>
                <a:ea typeface="Verdana"/>
              </a:rPr>
              <a:t>Site 1 Campus, Restaurant Universitaire, économies et ém° résiduelles, tCO2e</a:t>
            </a:r>
            <a:endParaRPr lang="fr-FR" sz="1000" b="1" i="0" u="none" strike="noStrike" baseline="0">
              <a:solidFill>
                <a:srgbClr val="DD0806"/>
              </a:solidFill>
              <a:latin typeface="Verdana"/>
              <a:ea typeface="Verdana"/>
            </a:endParaRPr>
          </a:p>
        </c:rich>
      </c:tx>
      <c:layout>
        <c:manualLayout>
          <c:xMode val="edge"/>
          <c:yMode val="edge"/>
          <c:x val="0.17359049049504649"/>
          <c:y val="1.0204149340882951E-2"/>
        </c:manualLayout>
      </c:layout>
      <c:overlay val="0"/>
      <c:spPr>
        <a:noFill/>
        <a:ln w="25400">
          <a:noFill/>
        </a:ln>
      </c:spPr>
    </c:title>
    <c:autoTitleDeleted val="0"/>
    <c:plotArea>
      <c:layout>
        <c:manualLayout>
          <c:layoutTarget val="inner"/>
          <c:xMode val="edge"/>
          <c:yMode val="edge"/>
          <c:x val="3.8585243620488721E-2"/>
          <c:y val="8.5772748485295702E-2"/>
          <c:w val="0.95636282402211326"/>
          <c:h val="0.7739969446649303"/>
        </c:manualLayout>
      </c:layout>
      <c:barChart>
        <c:barDir val="col"/>
        <c:grouping val="stacked"/>
        <c:varyColors val="0"/>
        <c:ser>
          <c:idx val="1"/>
          <c:order val="0"/>
          <c:tx>
            <c:v>émissions résiduelles</c:v>
          </c:tx>
          <c:spPr>
            <a:solidFill>
              <a:schemeClr val="accent4">
                <a:lumMod val="50000"/>
              </a:schemeClr>
            </a:solidFill>
            <a:ln w="12700">
              <a:solidFill>
                <a:srgbClr val="000000"/>
              </a:solidFill>
              <a:prstDash val="solid"/>
            </a:ln>
          </c:spPr>
          <c:invertIfNegative val="0"/>
          <c:dPt>
            <c:idx val="1"/>
            <c:invertIfNegative val="0"/>
            <c:bubble3D val="0"/>
            <c:spPr>
              <a:solidFill>
                <a:schemeClr val="tx2">
                  <a:lumMod val="40000"/>
                  <a:lumOff val="60000"/>
                </a:schemeClr>
              </a:solidFill>
              <a:ln w="12700">
                <a:solidFill>
                  <a:srgbClr val="000000"/>
                </a:solidFill>
                <a:prstDash val="solid"/>
              </a:ln>
            </c:spPr>
            <c:extLst>
              <c:ext xmlns:c16="http://schemas.microsoft.com/office/drawing/2014/chart" uri="{C3380CC4-5D6E-409C-BE32-E72D297353CC}">
                <c16:uniqueId val="{00000001-BDD3-4D29-83DE-C07992FE0D1B}"/>
              </c:ext>
            </c:extLst>
          </c:dPt>
          <c:dPt>
            <c:idx val="2"/>
            <c:invertIfNegative val="0"/>
            <c:bubble3D val="0"/>
            <c:spPr>
              <a:solidFill>
                <a:schemeClr val="tx2">
                  <a:lumMod val="40000"/>
                  <a:lumOff val="60000"/>
                </a:schemeClr>
              </a:solidFill>
              <a:ln w="12700">
                <a:solidFill>
                  <a:srgbClr val="000000"/>
                </a:solidFill>
                <a:prstDash val="solid"/>
              </a:ln>
            </c:spPr>
            <c:extLst>
              <c:ext xmlns:c16="http://schemas.microsoft.com/office/drawing/2014/chart" uri="{C3380CC4-5D6E-409C-BE32-E72D297353CC}">
                <c16:uniqueId val="{00000000-BDD3-4D29-83DE-C07992FE0D1B}"/>
              </c:ext>
            </c:extLst>
          </c:dPt>
          <c:cat>
            <c:strRef>
              <c:f>'Campus site 1'!$C$566:$C$568</c:f>
              <c:strCache>
                <c:ptCount val="3"/>
                <c:pt idx="0">
                  <c:v>Viandes et poissons</c:v>
                </c:pt>
                <c:pt idx="1">
                  <c:v>Autres produits alimentaires</c:v>
                </c:pt>
                <c:pt idx="2">
                  <c:v>Repas</c:v>
                </c:pt>
              </c:strCache>
            </c:strRef>
          </c:cat>
          <c:val>
            <c:numRef>
              <c:f>'Campus site 1'!$O$566:$O$568</c:f>
              <c:numCache>
                <c:formatCode>#,##0</c:formatCode>
                <c:ptCount val="3"/>
                <c:pt idx="0">
                  <c:v>0</c:v>
                </c:pt>
                <c:pt idx="1">
                  <c:v>0</c:v>
                </c:pt>
                <c:pt idx="2">
                  <c:v>457.16399999999999</c:v>
                </c:pt>
              </c:numCache>
            </c:numRef>
          </c:val>
          <c:extLst>
            <c:ext xmlns:c16="http://schemas.microsoft.com/office/drawing/2014/chart" uri="{C3380CC4-5D6E-409C-BE32-E72D297353CC}">
              <c16:uniqueId val="{00000000-E67C-4298-A107-BD37953160FA}"/>
            </c:ext>
          </c:extLst>
        </c:ser>
        <c:ser>
          <c:idx val="0"/>
          <c:order val="1"/>
          <c:tx>
            <c:v>réductions visées à long terme</c:v>
          </c:tx>
          <c:spPr>
            <a:solidFill>
              <a:srgbClr val="F6AB38"/>
            </a:solidFill>
            <a:ln w="12700">
              <a:solidFill>
                <a:srgbClr val="000000"/>
              </a:solidFill>
              <a:prstDash val="solid"/>
            </a:ln>
          </c:spPr>
          <c:invertIfNegative val="0"/>
          <c:cat>
            <c:strRef>
              <c:f>'Campus site 1'!$C$566:$C$568</c:f>
              <c:strCache>
                <c:ptCount val="3"/>
                <c:pt idx="0">
                  <c:v>Viandes et poissons</c:v>
                </c:pt>
                <c:pt idx="1">
                  <c:v>Autres produits alimentaires</c:v>
                </c:pt>
                <c:pt idx="2">
                  <c:v>Repas</c:v>
                </c:pt>
              </c:strCache>
            </c:strRef>
          </c:cat>
          <c:val>
            <c:numRef>
              <c:f>'Campus site 1'!$M$566:$M$568</c:f>
              <c:numCache>
                <c:formatCode>#,##0</c:formatCode>
                <c:ptCount val="3"/>
                <c:pt idx="0">
                  <c:v>0</c:v>
                </c:pt>
                <c:pt idx="1">
                  <c:v>0</c:v>
                </c:pt>
                <c:pt idx="2">
                  <c:v>0</c:v>
                </c:pt>
              </c:numCache>
            </c:numRef>
          </c:val>
          <c:extLst>
            <c:ext xmlns:c16="http://schemas.microsoft.com/office/drawing/2014/chart" uri="{C3380CC4-5D6E-409C-BE32-E72D297353CC}">
              <c16:uniqueId val="{00000001-E67C-4298-A107-BD37953160FA}"/>
            </c:ext>
          </c:extLst>
        </c:ser>
        <c:dLbls>
          <c:showLegendKey val="0"/>
          <c:showVal val="0"/>
          <c:showCatName val="0"/>
          <c:showSerName val="0"/>
          <c:showPercent val="0"/>
          <c:showBubbleSize val="0"/>
        </c:dLbls>
        <c:gapWidth val="150"/>
        <c:overlap val="100"/>
        <c:axId val="331699152"/>
        <c:axId val="331699712"/>
      </c:barChart>
      <c:catAx>
        <c:axId val="3316991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31699712"/>
        <c:crosses val="autoZero"/>
        <c:auto val="1"/>
        <c:lblAlgn val="ctr"/>
        <c:lblOffset val="100"/>
        <c:tickLblSkip val="1"/>
        <c:tickMarkSkip val="1"/>
        <c:noMultiLvlLbl val="0"/>
      </c:catAx>
      <c:valAx>
        <c:axId val="331699712"/>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1000" b="1" i="0" u="none" strike="noStrike" baseline="0">
                <a:solidFill>
                  <a:srgbClr val="000000"/>
                </a:solidFill>
                <a:latin typeface="Verdana"/>
                <a:ea typeface="Verdana"/>
                <a:cs typeface="Verdana"/>
              </a:defRPr>
            </a:pPr>
            <a:endParaRPr lang="fr-FR"/>
          </a:p>
        </c:txPr>
        <c:crossAx val="331699152"/>
        <c:crosses val="autoZero"/>
        <c:crossBetween val="between"/>
      </c:valAx>
      <c:spPr>
        <a:noFill/>
        <a:ln w="25400">
          <a:noFill/>
        </a:ln>
      </c:spPr>
    </c:plotArea>
    <c:legend>
      <c:legendPos val="r"/>
      <c:layout>
        <c:manualLayout>
          <c:xMode val="edge"/>
          <c:yMode val="edge"/>
          <c:x val="6.6546997780669304E-2"/>
          <c:y val="9.1247968291239184E-2"/>
          <c:w val="0.46763294039112169"/>
          <c:h val="0.12762983278775547"/>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Verdana"/>
              <a:ea typeface="Verdana"/>
              <a:cs typeface="Verdana"/>
            </a:defRPr>
          </a:pPr>
          <a:endParaRPr lang="fr-FR"/>
        </a:p>
      </c:txPr>
    </c:legend>
    <c:plotVisOnly val="1"/>
    <c:dispBlanksAs val="gap"/>
    <c:showDLblsOverMax val="0"/>
  </c:chart>
  <c:spPr>
    <a:solidFill>
      <a:srgbClr val="FFFFFF"/>
    </a:solidFill>
    <a:ln w="3175">
      <a:solidFill>
        <a:srgbClr val="000000"/>
      </a:solidFill>
      <a:prstDash val="solid"/>
    </a:ln>
  </c:spPr>
  <c:txPr>
    <a:bodyPr/>
    <a:lstStyle/>
    <a:p>
      <a:pPr>
        <a:defRPr sz="1000" b="1" i="0" u="none" strike="noStrike" baseline="0">
          <a:solidFill>
            <a:srgbClr val="000000"/>
          </a:solidFill>
          <a:latin typeface="Verdana"/>
          <a:ea typeface="Verdana"/>
          <a:cs typeface="Verdana"/>
        </a:defRPr>
      </a:pPr>
      <a:endParaRPr lang="fr-FR"/>
    </a:p>
  </c:txPr>
  <c:printSettings>
    <c:headerFooter alignWithMargins="0"/>
    <c:pageMargins b="0.984251969" l="0.78740157499999996" r="0.78740157499999996" t="0.984251969" header="0.4921259845" footer="0.4921259845"/>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50" b="0" i="0" u="none" strike="noStrike" baseline="0">
                <a:solidFill>
                  <a:srgbClr val="000000"/>
                </a:solidFill>
                <a:latin typeface="Arial"/>
                <a:ea typeface="Arial"/>
                <a:cs typeface="Arial"/>
              </a:defRPr>
            </a:pPr>
            <a:r>
              <a:rPr lang="fr-FR" sz="1125" b="1" i="0" u="none" strike="noStrike" baseline="0">
                <a:solidFill>
                  <a:srgbClr val="000000"/>
                </a:solidFill>
                <a:latin typeface="Arial"/>
                <a:cs typeface="Arial"/>
              </a:rPr>
              <a:t>Emissions totales du campus par poste,</a:t>
            </a:r>
            <a:r>
              <a:rPr lang="fr-FR" sz="1125" b="1" i="0" u="none" strike="noStrike" baseline="0">
                <a:solidFill>
                  <a:sysClr val="windowText" lastClr="000000"/>
                </a:solidFill>
                <a:latin typeface="Arial"/>
                <a:cs typeface="Arial"/>
              </a:rPr>
              <a:t> tCO2e</a:t>
            </a:r>
          </a:p>
          <a:p>
            <a:pPr>
              <a:defRPr sz="950" b="0" i="0" u="none" strike="noStrike" baseline="0">
                <a:solidFill>
                  <a:srgbClr val="000000"/>
                </a:solidFill>
                <a:latin typeface="Arial"/>
                <a:ea typeface="Arial"/>
                <a:cs typeface="Arial"/>
              </a:defRPr>
            </a:pPr>
            <a:r>
              <a:rPr lang="fr-FR" sz="850" b="1" i="0" u="none" strike="noStrike" baseline="0">
                <a:solidFill>
                  <a:srgbClr val="000000"/>
                </a:solidFill>
                <a:latin typeface="Arial"/>
                <a:cs typeface="Arial"/>
              </a:rPr>
              <a:t>Réalisé dans le cadre de la démarche Bilan Carbone® Campus</a:t>
            </a:r>
          </a:p>
        </c:rich>
      </c:tx>
      <c:layout>
        <c:manualLayout>
          <c:xMode val="edge"/>
          <c:yMode val="edge"/>
          <c:x val="0.17397895823275791"/>
          <c:y val="3.3333333333333333E-2"/>
        </c:manualLayout>
      </c:layout>
      <c:overlay val="0"/>
      <c:spPr>
        <a:noFill/>
        <a:ln w="25400">
          <a:noFill/>
        </a:ln>
      </c:spPr>
    </c:title>
    <c:autoTitleDeleted val="0"/>
    <c:plotArea>
      <c:layout>
        <c:manualLayout>
          <c:layoutTarget val="inner"/>
          <c:xMode val="edge"/>
          <c:yMode val="edge"/>
          <c:x val="5.1437254335623059E-2"/>
          <c:y val="0.16944490409316432"/>
          <c:w val="0.9273834384628511"/>
          <c:h val="0.67500183105965461"/>
        </c:manualLayout>
      </c:layout>
      <c:barChart>
        <c:barDir val="col"/>
        <c:grouping val="clustered"/>
        <c:varyColors val="0"/>
        <c:ser>
          <c:idx val="0"/>
          <c:order val="0"/>
          <c:spPr>
            <a:solidFill>
              <a:srgbClr val="FF9900"/>
            </a:solidFill>
            <a:ln w="12700">
              <a:solidFill>
                <a:srgbClr val="000000"/>
              </a:solidFill>
              <a:prstDash val="solid"/>
            </a:ln>
          </c:spPr>
          <c:invertIfNegative val="0"/>
          <c:dPt>
            <c:idx val="0"/>
            <c:invertIfNegative val="0"/>
            <c:bubble3D val="0"/>
            <c:spPr>
              <a:solidFill>
                <a:schemeClr val="tx1"/>
              </a:solidFill>
              <a:ln w="12700">
                <a:solidFill>
                  <a:srgbClr val="000000"/>
                </a:solidFill>
                <a:prstDash val="solid"/>
              </a:ln>
            </c:spPr>
            <c:extLst>
              <c:ext xmlns:c16="http://schemas.microsoft.com/office/drawing/2014/chart" uri="{C3380CC4-5D6E-409C-BE32-E72D297353CC}">
                <c16:uniqueId val="{00000001-4E12-406E-9D45-C5EF201FF9C0}"/>
              </c:ext>
            </c:extLst>
          </c:dPt>
          <c:dPt>
            <c:idx val="1"/>
            <c:invertIfNegative val="0"/>
            <c:bubble3D val="0"/>
            <c:spPr>
              <a:solidFill>
                <a:schemeClr val="tx2">
                  <a:lumMod val="50000"/>
                </a:schemeClr>
              </a:solidFill>
              <a:ln w="12700">
                <a:solidFill>
                  <a:srgbClr val="000000"/>
                </a:solidFill>
                <a:prstDash val="solid"/>
              </a:ln>
            </c:spPr>
            <c:extLst>
              <c:ext xmlns:c16="http://schemas.microsoft.com/office/drawing/2014/chart" uri="{C3380CC4-5D6E-409C-BE32-E72D297353CC}">
                <c16:uniqueId val="{00000000-4E12-406E-9D45-C5EF201FF9C0}"/>
              </c:ext>
            </c:extLst>
          </c:dPt>
          <c:dPt>
            <c:idx val="2"/>
            <c:invertIfNegative val="0"/>
            <c:bubble3D val="0"/>
            <c:spPr>
              <a:solidFill>
                <a:schemeClr val="accent2">
                  <a:lumMod val="50000"/>
                </a:schemeClr>
              </a:solidFill>
              <a:ln w="12700">
                <a:solidFill>
                  <a:srgbClr val="000000"/>
                </a:solidFill>
                <a:prstDash val="solid"/>
              </a:ln>
            </c:spPr>
            <c:extLst>
              <c:ext xmlns:c16="http://schemas.microsoft.com/office/drawing/2014/chart" uri="{C3380CC4-5D6E-409C-BE32-E72D297353CC}">
                <c16:uniqueId val="{00000002-4E12-406E-9D45-C5EF201FF9C0}"/>
              </c:ext>
            </c:extLst>
          </c:dPt>
          <c:dPt>
            <c:idx val="3"/>
            <c:invertIfNegative val="0"/>
            <c:bubble3D val="0"/>
            <c:spPr>
              <a:solidFill>
                <a:schemeClr val="accent3">
                  <a:lumMod val="50000"/>
                </a:schemeClr>
              </a:solidFill>
              <a:ln w="12700">
                <a:solidFill>
                  <a:srgbClr val="000000"/>
                </a:solidFill>
                <a:prstDash val="solid"/>
              </a:ln>
            </c:spPr>
            <c:extLst>
              <c:ext xmlns:c16="http://schemas.microsoft.com/office/drawing/2014/chart" uri="{C3380CC4-5D6E-409C-BE32-E72D297353CC}">
                <c16:uniqueId val="{00000003-4E12-406E-9D45-C5EF201FF9C0}"/>
              </c:ext>
            </c:extLst>
          </c:dPt>
          <c:dPt>
            <c:idx val="4"/>
            <c:invertIfNegative val="0"/>
            <c:bubble3D val="0"/>
            <c:spPr>
              <a:solidFill>
                <a:schemeClr val="accent4">
                  <a:lumMod val="50000"/>
                </a:schemeClr>
              </a:solidFill>
              <a:ln w="12700">
                <a:solidFill>
                  <a:srgbClr val="000000"/>
                </a:solidFill>
                <a:prstDash val="solid"/>
              </a:ln>
            </c:spPr>
            <c:extLst>
              <c:ext xmlns:c16="http://schemas.microsoft.com/office/drawing/2014/chart" uri="{C3380CC4-5D6E-409C-BE32-E72D297353CC}">
                <c16:uniqueId val="{00000004-4E12-406E-9D45-C5EF201FF9C0}"/>
              </c:ext>
            </c:extLst>
          </c:dPt>
          <c:dPt>
            <c:idx val="5"/>
            <c:invertIfNegative val="0"/>
            <c:bubble3D val="0"/>
            <c:spPr>
              <a:solidFill>
                <a:schemeClr val="accent5">
                  <a:lumMod val="50000"/>
                </a:schemeClr>
              </a:solidFill>
              <a:ln w="12700">
                <a:solidFill>
                  <a:srgbClr val="000000"/>
                </a:solidFill>
                <a:prstDash val="solid"/>
              </a:ln>
            </c:spPr>
            <c:extLst>
              <c:ext xmlns:c16="http://schemas.microsoft.com/office/drawing/2014/chart" uri="{C3380CC4-5D6E-409C-BE32-E72D297353CC}">
                <c16:uniqueId val="{00000005-4E12-406E-9D45-C5EF201FF9C0}"/>
              </c:ext>
            </c:extLst>
          </c:dPt>
          <c:dPt>
            <c:idx val="6"/>
            <c:invertIfNegative val="0"/>
            <c:bubble3D val="0"/>
            <c:spPr>
              <a:solidFill>
                <a:schemeClr val="accent6">
                  <a:lumMod val="50000"/>
                </a:schemeClr>
              </a:solidFill>
              <a:ln w="12700">
                <a:solidFill>
                  <a:srgbClr val="000000"/>
                </a:solidFill>
                <a:prstDash val="solid"/>
              </a:ln>
            </c:spPr>
            <c:extLst>
              <c:ext xmlns:c16="http://schemas.microsoft.com/office/drawing/2014/chart" uri="{C3380CC4-5D6E-409C-BE32-E72D297353CC}">
                <c16:uniqueId val="{00000006-4E12-406E-9D45-C5EF201FF9C0}"/>
              </c:ext>
            </c:extLst>
          </c:dPt>
          <c:dLbls>
            <c:spPr>
              <a:noFill/>
              <a:ln w="25400">
                <a:noFill/>
              </a:ln>
            </c:spPr>
            <c:txPr>
              <a:bodyPr wrap="square" lIns="38100" tIns="19050" rIns="38100" bIns="19050" anchor="ctr">
                <a:spAutoFit/>
              </a:bodyPr>
              <a:lstStyle/>
              <a:p>
                <a:pPr>
                  <a:defRPr sz="950" b="0" i="0" u="none" strike="noStrike" baseline="0">
                    <a:solidFill>
                      <a:srgbClr val="000000"/>
                    </a:solidFill>
                    <a:latin typeface="Arial"/>
                    <a:ea typeface="Arial"/>
                    <a:cs typeface="Arial"/>
                  </a:defRPr>
                </a:pPr>
                <a:endParaRPr lang="fr-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errBars>
            <c:errBarType val="both"/>
            <c:errValType val="cust"/>
            <c:noEndCap val="0"/>
            <c:plus>
              <c:numRef>
                <c:f>Totalisateur!$K$8:$K$14</c:f>
                <c:numCache>
                  <c:formatCode>General</c:formatCode>
                  <c:ptCount val="7"/>
                </c:numCache>
              </c:numRef>
            </c:plus>
            <c:minus>
              <c:numRef>
                <c:f>Totalisateur!$K$8:$K$14</c:f>
                <c:numCache>
                  <c:formatCode>General</c:formatCode>
                  <c:ptCount val="7"/>
                </c:numCache>
              </c:numRef>
            </c:minus>
            <c:spPr>
              <a:ln w="12700">
                <a:solidFill>
                  <a:srgbClr val="000000"/>
                </a:solidFill>
                <a:prstDash val="solid"/>
              </a:ln>
            </c:spPr>
          </c:errBars>
          <c:cat>
            <c:strRef>
              <c:f>Totalisateur!$G$8:$G$14</c:f>
              <c:strCache>
                <c:ptCount val="7"/>
                <c:pt idx="0">
                  <c:v>Sources fixes</c:v>
                </c:pt>
                <c:pt idx="1">
                  <c:v>Fret</c:v>
                </c:pt>
                <c:pt idx="2">
                  <c:v>Déplacements de personnes</c:v>
                </c:pt>
                <c:pt idx="3">
                  <c:v>Consommables et matériaux</c:v>
                </c:pt>
                <c:pt idx="4">
                  <c:v>Restaurant universitaire</c:v>
                </c:pt>
                <c:pt idx="5">
                  <c:v>Déchêts directs</c:v>
                </c:pt>
                <c:pt idx="6">
                  <c:v>Immobilisations</c:v>
                </c:pt>
              </c:strCache>
            </c:strRef>
          </c:cat>
          <c:val>
            <c:numRef>
              <c:f>Totalisateur!$H$8:$H$14</c:f>
              <c:numCache>
                <c:formatCode>#,##0</c:formatCode>
                <c:ptCount val="7"/>
                <c:pt idx="0">
                  <c:v>1253.9631899999999</c:v>
                </c:pt>
                <c:pt idx="1">
                  <c:v>32.752000000000002</c:v>
                </c:pt>
                <c:pt idx="2">
                  <c:v>490.43616000000003</c:v>
                </c:pt>
                <c:pt idx="3">
                  <c:v>28.703465999999999</c:v>
                </c:pt>
                <c:pt idx="4">
                  <c:v>457.16399999999999</c:v>
                </c:pt>
                <c:pt idx="5">
                  <c:v>7.2231550000000002</c:v>
                </c:pt>
                <c:pt idx="6">
                  <c:v>396.34573333333333</c:v>
                </c:pt>
              </c:numCache>
            </c:numRef>
          </c:val>
          <c:extLst>
            <c:ext xmlns:c16="http://schemas.microsoft.com/office/drawing/2014/chart" uri="{C3380CC4-5D6E-409C-BE32-E72D297353CC}">
              <c16:uniqueId val="{00000000-9DA2-4E85-B430-C4DBA6021C0D}"/>
            </c:ext>
          </c:extLst>
        </c:ser>
        <c:dLbls>
          <c:showLegendKey val="0"/>
          <c:showVal val="0"/>
          <c:showCatName val="0"/>
          <c:showSerName val="0"/>
          <c:showPercent val="0"/>
          <c:showBubbleSize val="0"/>
        </c:dLbls>
        <c:gapWidth val="150"/>
        <c:axId val="410358736"/>
        <c:axId val="410359296"/>
      </c:barChart>
      <c:catAx>
        <c:axId val="410358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fr-FR"/>
          </a:p>
        </c:txPr>
        <c:crossAx val="410359296"/>
        <c:crosses val="autoZero"/>
        <c:auto val="0"/>
        <c:lblAlgn val="ctr"/>
        <c:lblOffset val="100"/>
        <c:tickLblSkip val="1"/>
        <c:tickMarkSkip val="1"/>
        <c:noMultiLvlLbl val="0"/>
      </c:catAx>
      <c:valAx>
        <c:axId val="410359296"/>
        <c:scaling>
          <c:orientation val="minMax"/>
        </c:scaling>
        <c:delete val="0"/>
        <c:axPos val="l"/>
        <c:majorGridlines>
          <c:spPr>
            <a:ln w="3175">
              <a:solidFill>
                <a:srgbClr val="000000"/>
              </a:solidFill>
              <a:prstDash val="solid"/>
            </a:ln>
          </c:spPr>
        </c:majorGridlines>
        <c:numFmt formatCode="#,##0" sourceLinked="1"/>
        <c:majorTickMark val="out"/>
        <c:minorTickMark val="none"/>
        <c:tickLblPos val="nextTo"/>
        <c:spPr>
          <a:ln w="3175">
            <a:solidFill>
              <a:srgbClr val="000000"/>
            </a:solidFill>
            <a:prstDash val="solid"/>
          </a:ln>
        </c:spPr>
        <c:txPr>
          <a:bodyPr rot="0" vert="horz"/>
          <a:lstStyle/>
          <a:p>
            <a:pPr>
              <a:defRPr sz="950" b="0" i="0" u="none" strike="noStrike" baseline="0">
                <a:solidFill>
                  <a:srgbClr val="000000"/>
                </a:solidFill>
                <a:latin typeface="Arial"/>
                <a:ea typeface="Arial"/>
                <a:cs typeface="Arial"/>
              </a:defRPr>
            </a:pPr>
            <a:endParaRPr lang="fr-FR"/>
          </a:p>
        </c:txPr>
        <c:crossAx val="410358736"/>
        <c:crosses val="autoZero"/>
        <c:crossBetween val="between"/>
      </c:valAx>
      <c:spPr>
        <a:noFill/>
        <a:ln w="25400">
          <a:noFill/>
        </a:ln>
      </c:spPr>
    </c:plotArea>
    <c:plotVisOnly val="1"/>
    <c:dispBlanksAs val="gap"/>
    <c:showDLblsOverMax val="0"/>
  </c:chart>
  <c:spPr>
    <a:solidFill>
      <a:srgbClr val="FFFFFF"/>
    </a:solidFill>
    <a:ln w="25400">
      <a:solidFill>
        <a:srgbClr val="F6AB38"/>
      </a:solidFill>
      <a:prstDash val="solid"/>
    </a:ln>
  </c:spPr>
  <c:txPr>
    <a:bodyPr/>
    <a:lstStyle/>
    <a:p>
      <a:pPr>
        <a:defRPr sz="950"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75" b="0" i="0" u="none" strike="noStrike" baseline="0">
                <a:solidFill>
                  <a:srgbClr val="000000"/>
                </a:solidFill>
                <a:latin typeface="Arial"/>
                <a:ea typeface="Arial"/>
                <a:cs typeface="Arial"/>
              </a:defRPr>
            </a:pPr>
            <a:r>
              <a:rPr lang="fr-FR" sz="1150" b="1" i="0" u="none" strike="noStrike" baseline="0">
                <a:solidFill>
                  <a:srgbClr val="000000"/>
                </a:solidFill>
                <a:latin typeface="Arial"/>
                <a:cs typeface="Arial"/>
              </a:rPr>
              <a:t>Répartitions des émissions totales du campus par poste</a:t>
            </a:r>
            <a:endParaRPr lang="fr-FR" sz="1350" b="1" i="0" u="none" strike="noStrike" baseline="0">
              <a:solidFill>
                <a:srgbClr val="000000"/>
              </a:solidFill>
              <a:latin typeface="Arial"/>
              <a:cs typeface="Arial"/>
            </a:endParaRPr>
          </a:p>
          <a:p>
            <a:pPr>
              <a:defRPr sz="1075" b="0" i="0" u="none" strike="noStrike" baseline="0">
                <a:solidFill>
                  <a:srgbClr val="000000"/>
                </a:solidFill>
                <a:latin typeface="Arial"/>
                <a:ea typeface="Arial"/>
                <a:cs typeface="Arial"/>
              </a:defRPr>
            </a:pPr>
            <a:r>
              <a:rPr lang="fr-FR" sz="850" b="1" i="0" u="none" strike="noStrike" baseline="0">
                <a:solidFill>
                  <a:srgbClr val="000000"/>
                </a:solidFill>
                <a:latin typeface="Arial"/>
                <a:cs typeface="Arial"/>
              </a:rPr>
              <a:t>Réalisé dans le cadre de la démarche Bilan Carbone® Campus</a:t>
            </a:r>
          </a:p>
        </c:rich>
      </c:tx>
      <c:layout>
        <c:manualLayout>
          <c:xMode val="edge"/>
          <c:yMode val="edge"/>
          <c:x val="0.1259400578880209"/>
          <c:y val="2.9914473915129108E-2"/>
        </c:manualLayout>
      </c:layout>
      <c:overlay val="0"/>
      <c:spPr>
        <a:noFill/>
        <a:ln w="25400">
          <a:noFill/>
        </a:ln>
      </c:spPr>
    </c:title>
    <c:autoTitleDeleted val="0"/>
    <c:plotArea>
      <c:layout>
        <c:manualLayout>
          <c:layoutTarget val="inner"/>
          <c:xMode val="edge"/>
          <c:yMode val="edge"/>
          <c:x val="0.35947457798463983"/>
          <c:y val="0.19103277777777777"/>
          <c:w val="0.31373169718030119"/>
          <c:h val="0.68274222222222225"/>
        </c:manualLayout>
      </c:layout>
      <c:pieChart>
        <c:varyColors val="1"/>
        <c:ser>
          <c:idx val="0"/>
          <c:order val="0"/>
          <c:spPr>
            <a:solidFill>
              <a:srgbClr val="9999FF"/>
            </a:solidFill>
            <a:ln w="12700">
              <a:solidFill>
                <a:schemeClr val="bg1"/>
              </a:solidFill>
              <a:prstDash val="solid"/>
            </a:ln>
          </c:spPr>
          <c:dPt>
            <c:idx val="0"/>
            <c:bubble3D val="0"/>
            <c:spPr>
              <a:solidFill>
                <a:schemeClr val="tx1"/>
              </a:solidFill>
              <a:ln w="12700">
                <a:solidFill>
                  <a:schemeClr val="bg1"/>
                </a:solidFill>
                <a:prstDash val="solid"/>
              </a:ln>
            </c:spPr>
            <c:extLst>
              <c:ext xmlns:c16="http://schemas.microsoft.com/office/drawing/2014/chart" uri="{C3380CC4-5D6E-409C-BE32-E72D297353CC}">
                <c16:uniqueId val="{00000000-C0F0-45C2-BEEC-41D3A3921145}"/>
              </c:ext>
            </c:extLst>
          </c:dPt>
          <c:dPt>
            <c:idx val="1"/>
            <c:bubble3D val="0"/>
            <c:spPr>
              <a:solidFill>
                <a:schemeClr val="tx2">
                  <a:lumMod val="50000"/>
                </a:schemeClr>
              </a:solidFill>
              <a:ln w="12700">
                <a:solidFill>
                  <a:schemeClr val="bg1"/>
                </a:solidFill>
                <a:prstDash val="solid"/>
              </a:ln>
            </c:spPr>
            <c:extLst>
              <c:ext xmlns:c16="http://schemas.microsoft.com/office/drawing/2014/chart" uri="{C3380CC4-5D6E-409C-BE32-E72D297353CC}">
                <c16:uniqueId val="{00000001-C0F0-45C2-BEEC-41D3A3921145}"/>
              </c:ext>
            </c:extLst>
          </c:dPt>
          <c:dPt>
            <c:idx val="2"/>
            <c:bubble3D val="0"/>
            <c:spPr>
              <a:solidFill>
                <a:schemeClr val="accent2">
                  <a:lumMod val="50000"/>
                </a:schemeClr>
              </a:solidFill>
              <a:ln w="12700">
                <a:solidFill>
                  <a:schemeClr val="bg1"/>
                </a:solidFill>
                <a:prstDash val="solid"/>
              </a:ln>
            </c:spPr>
            <c:extLst>
              <c:ext xmlns:c16="http://schemas.microsoft.com/office/drawing/2014/chart" uri="{C3380CC4-5D6E-409C-BE32-E72D297353CC}">
                <c16:uniqueId val="{00000002-C0F0-45C2-BEEC-41D3A3921145}"/>
              </c:ext>
            </c:extLst>
          </c:dPt>
          <c:dPt>
            <c:idx val="3"/>
            <c:bubble3D val="0"/>
            <c:spPr>
              <a:solidFill>
                <a:schemeClr val="accent3">
                  <a:lumMod val="50000"/>
                </a:schemeClr>
              </a:solidFill>
              <a:ln w="12700">
                <a:solidFill>
                  <a:schemeClr val="bg1"/>
                </a:solidFill>
                <a:prstDash val="solid"/>
              </a:ln>
            </c:spPr>
            <c:extLst>
              <c:ext xmlns:c16="http://schemas.microsoft.com/office/drawing/2014/chart" uri="{C3380CC4-5D6E-409C-BE32-E72D297353CC}">
                <c16:uniqueId val="{00000003-C0F0-45C2-BEEC-41D3A3921145}"/>
              </c:ext>
            </c:extLst>
          </c:dPt>
          <c:dPt>
            <c:idx val="4"/>
            <c:bubble3D val="0"/>
            <c:spPr>
              <a:solidFill>
                <a:schemeClr val="accent4">
                  <a:lumMod val="50000"/>
                </a:schemeClr>
              </a:solidFill>
              <a:ln w="12700">
                <a:solidFill>
                  <a:schemeClr val="bg1"/>
                </a:solidFill>
                <a:prstDash val="solid"/>
              </a:ln>
            </c:spPr>
            <c:extLst>
              <c:ext xmlns:c16="http://schemas.microsoft.com/office/drawing/2014/chart" uri="{C3380CC4-5D6E-409C-BE32-E72D297353CC}">
                <c16:uniqueId val="{00000004-C0F0-45C2-BEEC-41D3A3921145}"/>
              </c:ext>
            </c:extLst>
          </c:dPt>
          <c:dPt>
            <c:idx val="5"/>
            <c:bubble3D val="0"/>
            <c:spPr>
              <a:solidFill>
                <a:srgbClr val="CCFFFF"/>
              </a:solidFill>
              <a:ln w="12700">
                <a:solidFill>
                  <a:schemeClr val="bg1"/>
                </a:solidFill>
                <a:prstDash val="solid"/>
              </a:ln>
            </c:spPr>
            <c:extLst>
              <c:ext xmlns:c16="http://schemas.microsoft.com/office/drawing/2014/chart" uri="{C3380CC4-5D6E-409C-BE32-E72D297353CC}">
                <c16:uniqueId val="{00000005-C0F0-45C2-BEEC-41D3A3921145}"/>
              </c:ext>
            </c:extLst>
          </c:dPt>
          <c:dPt>
            <c:idx val="6"/>
            <c:bubble3D val="0"/>
            <c:spPr>
              <a:solidFill>
                <a:schemeClr val="accent6">
                  <a:lumMod val="50000"/>
                </a:schemeClr>
              </a:solidFill>
              <a:ln w="12700">
                <a:solidFill>
                  <a:schemeClr val="bg1"/>
                </a:solidFill>
                <a:prstDash val="solid"/>
              </a:ln>
            </c:spPr>
            <c:extLst>
              <c:ext xmlns:c16="http://schemas.microsoft.com/office/drawing/2014/chart" uri="{C3380CC4-5D6E-409C-BE32-E72D297353CC}">
                <c16:uniqueId val="{00000006-C0F0-45C2-BEEC-41D3A3921145}"/>
              </c:ext>
            </c:extLst>
          </c:dPt>
          <c:dLbls>
            <c:dLbl>
              <c:idx val="1"/>
              <c:layout>
                <c:manualLayout>
                  <c:x val="0.17199932283731167"/>
                  <c:y val="3.5277777777777651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0F0-45C2-BEEC-41D3A3921145}"/>
                </c:ext>
              </c:extLst>
            </c:dLbl>
            <c:dLbl>
              <c:idx val="2"/>
              <c:layout>
                <c:manualLayout>
                  <c:x val="4.5529232515758924E-2"/>
                  <c:y val="4.938888888888889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0F0-45C2-BEEC-41D3A3921145}"/>
                </c:ext>
              </c:extLst>
            </c:dLbl>
            <c:dLbl>
              <c:idx val="3"/>
              <c:layout>
                <c:manualLayout>
                  <c:x val="-0.12899949212798378"/>
                  <c:y val="7.0555555555555554E-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0F0-45C2-BEEC-41D3A3921145}"/>
                </c:ext>
              </c:extLst>
            </c:dLbl>
            <c:numFmt formatCode="0%" sourceLinked="0"/>
            <c:spPr>
              <a:noFill/>
              <a:ln w="25400">
                <a:noFill/>
              </a:ln>
            </c:spPr>
            <c:txPr>
              <a:bodyPr wrap="square" lIns="38100" tIns="19050" rIns="38100" bIns="19050" anchor="ctr">
                <a:spAutoFit/>
              </a:bodyPr>
              <a:lstStyle/>
              <a:p>
                <a:pPr>
                  <a:defRPr sz="1000" b="0" i="0" u="none" strike="noStrike" baseline="0">
                    <a:solidFill>
                      <a:srgbClr val="000000"/>
                    </a:solidFill>
                    <a:latin typeface="Arial"/>
                    <a:ea typeface="Arial"/>
                    <a:cs typeface="Arial"/>
                  </a:defRPr>
                </a:pPr>
                <a:endParaRPr lang="fr-FR"/>
              </a:p>
            </c:txPr>
            <c:dLblPos val="outEnd"/>
            <c:showLegendKey val="0"/>
            <c:showVal val="0"/>
            <c:showCatName val="1"/>
            <c:showSerName val="0"/>
            <c:showPercent val="1"/>
            <c:showBubbleSize val="0"/>
            <c:showLeaderLines val="1"/>
            <c:extLst>
              <c:ext xmlns:c15="http://schemas.microsoft.com/office/drawing/2012/chart" uri="{CE6537A1-D6FC-4f65-9D91-7224C49458BB}"/>
            </c:extLst>
          </c:dLbls>
          <c:cat>
            <c:strRef>
              <c:f>Totalisateur!$G$8:$G$14</c:f>
              <c:strCache>
                <c:ptCount val="7"/>
                <c:pt idx="0">
                  <c:v>Sources fixes</c:v>
                </c:pt>
                <c:pt idx="1">
                  <c:v>Fret</c:v>
                </c:pt>
                <c:pt idx="2">
                  <c:v>Déplacements de personnes</c:v>
                </c:pt>
                <c:pt idx="3">
                  <c:v>Consommables et matériaux</c:v>
                </c:pt>
                <c:pt idx="4">
                  <c:v>Restaurant universitaire</c:v>
                </c:pt>
                <c:pt idx="5">
                  <c:v>Déchêts directs</c:v>
                </c:pt>
                <c:pt idx="6">
                  <c:v>Immobilisations</c:v>
                </c:pt>
              </c:strCache>
            </c:strRef>
          </c:cat>
          <c:val>
            <c:numRef>
              <c:f>Totalisateur!$I$8:$I$14</c:f>
              <c:numCache>
                <c:formatCode>0%</c:formatCode>
                <c:ptCount val="7"/>
                <c:pt idx="0">
                  <c:v>0.4702501207675448</c:v>
                </c:pt>
                <c:pt idx="1">
                  <c:v>1.2282363691535977E-2</c:v>
                </c:pt>
                <c:pt idx="2">
                  <c:v>0.18391900600269689</c:v>
                </c:pt>
                <c:pt idx="3">
                  <c:v>1.0764118484966945E-2</c:v>
                </c:pt>
                <c:pt idx="4">
                  <c:v>0.17144157653509259</c:v>
                </c:pt>
                <c:pt idx="5">
                  <c:v>2.7087633338524837E-3</c:v>
                </c:pt>
                <c:pt idx="6">
                  <c:v>0.14863405118431039</c:v>
                </c:pt>
              </c:numCache>
            </c:numRef>
          </c:val>
          <c:extLst>
            <c:ext xmlns:c16="http://schemas.microsoft.com/office/drawing/2014/chart" uri="{C3380CC4-5D6E-409C-BE32-E72D297353CC}">
              <c16:uniqueId val="{00000007-C0F0-45C2-BEEC-41D3A3921145}"/>
            </c:ext>
          </c:extLst>
        </c:ser>
        <c:dLbls>
          <c:showLegendKey val="0"/>
          <c:showVal val="0"/>
          <c:showCatName val="0"/>
          <c:showSerName val="0"/>
          <c:showPercent val="0"/>
          <c:showBubbleSize val="0"/>
          <c:showLeaderLines val="1"/>
        </c:dLbls>
        <c:firstSliceAng val="0"/>
      </c:pieChart>
      <c:spPr>
        <a:noFill/>
        <a:ln w="25400">
          <a:noFill/>
        </a:ln>
      </c:spPr>
    </c:plotArea>
    <c:plotVisOnly val="1"/>
    <c:dispBlanksAs val="zero"/>
    <c:showDLblsOverMax val="0"/>
  </c:chart>
  <c:spPr>
    <a:solidFill>
      <a:srgbClr val="FFFFFF"/>
    </a:solidFill>
    <a:ln w="25400">
      <a:solidFill>
        <a:srgbClr val="F6AB38"/>
      </a:solidFill>
      <a:prstDash val="solid"/>
    </a:ln>
  </c:spPr>
  <c:txPr>
    <a:bodyPr/>
    <a:lstStyle/>
    <a:p>
      <a:pPr>
        <a:defRPr sz="1075" b="0" i="0" u="none" strike="noStrike" baseline="0">
          <a:solidFill>
            <a:srgbClr val="000000"/>
          </a:solidFill>
          <a:latin typeface="Arial"/>
          <a:ea typeface="Arial"/>
          <a:cs typeface="Arial"/>
        </a:defRPr>
      </a:pPr>
      <a:endParaRPr lang="fr-FR"/>
    </a:p>
  </c:txPr>
  <c:printSettings>
    <c:headerFooter alignWithMargins="0"/>
    <c:pageMargins b="0.984251969" l="0.78740157499999996" r="0.78740157499999996" t="0.984251969" header="0.4921259845" footer="0.4921259845"/>
    <c:pageSetup paperSize="9" orientation="landscape" horizontalDpi="300" verticalDpi="300"/>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avenirclimatique.org/" TargetMode="External"/></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18" Type="http://schemas.openxmlformats.org/officeDocument/2006/relationships/image" Target="../media/image20.png"/><Relationship Id="rId26" Type="http://schemas.openxmlformats.org/officeDocument/2006/relationships/image" Target="../media/image28.png"/><Relationship Id="rId3" Type="http://schemas.openxmlformats.org/officeDocument/2006/relationships/image" Target="../media/image5.png"/><Relationship Id="rId21" Type="http://schemas.openxmlformats.org/officeDocument/2006/relationships/image" Target="../media/image23.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5" Type="http://schemas.openxmlformats.org/officeDocument/2006/relationships/image" Target="../media/image27.png"/><Relationship Id="rId2" Type="http://schemas.openxmlformats.org/officeDocument/2006/relationships/image" Target="../media/image4.png"/><Relationship Id="rId16" Type="http://schemas.openxmlformats.org/officeDocument/2006/relationships/image" Target="../media/image18.png"/><Relationship Id="rId20" Type="http://schemas.openxmlformats.org/officeDocument/2006/relationships/image" Target="../media/image22.png"/><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image" Target="../media/image13.png"/><Relationship Id="rId24" Type="http://schemas.openxmlformats.org/officeDocument/2006/relationships/image" Target="../media/image26.png"/><Relationship Id="rId5" Type="http://schemas.openxmlformats.org/officeDocument/2006/relationships/image" Target="../media/image7.png"/><Relationship Id="rId15" Type="http://schemas.openxmlformats.org/officeDocument/2006/relationships/image" Target="../media/image17.png"/><Relationship Id="rId23" Type="http://schemas.openxmlformats.org/officeDocument/2006/relationships/image" Target="../media/image25.png"/><Relationship Id="rId10" Type="http://schemas.openxmlformats.org/officeDocument/2006/relationships/image" Target="../media/image12.png"/><Relationship Id="rId19" Type="http://schemas.openxmlformats.org/officeDocument/2006/relationships/image" Target="../media/image21.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 Id="rId22" Type="http://schemas.openxmlformats.org/officeDocument/2006/relationships/image" Target="../media/image24.png"/></Relationships>
</file>

<file path=xl/drawings/_rels/drawing3.xml.rels><?xml version="1.0" encoding="UTF-8" standalone="yes"?>
<Relationships xmlns="http://schemas.openxmlformats.org/package/2006/relationships"><Relationship Id="rId13" Type="http://schemas.openxmlformats.org/officeDocument/2006/relationships/chart" Target="../charts/chart13.xml"/><Relationship Id="rId18" Type="http://schemas.openxmlformats.org/officeDocument/2006/relationships/chart" Target="../charts/chart18.xml"/><Relationship Id="rId26" Type="http://schemas.openxmlformats.org/officeDocument/2006/relationships/image" Target="../media/image32.png"/><Relationship Id="rId39" Type="http://schemas.openxmlformats.org/officeDocument/2006/relationships/image" Target="../media/image42.png"/><Relationship Id="rId21" Type="http://schemas.openxmlformats.org/officeDocument/2006/relationships/image" Target="../media/image5.png"/><Relationship Id="rId34" Type="http://schemas.openxmlformats.org/officeDocument/2006/relationships/image" Target="../media/image17.png"/><Relationship Id="rId42" Type="http://schemas.openxmlformats.org/officeDocument/2006/relationships/image" Target="../media/image45.png"/><Relationship Id="rId7" Type="http://schemas.openxmlformats.org/officeDocument/2006/relationships/chart" Target="../charts/chart7.xml"/><Relationship Id="rId2" Type="http://schemas.openxmlformats.org/officeDocument/2006/relationships/chart" Target="../charts/chart2.xml"/><Relationship Id="rId16" Type="http://schemas.openxmlformats.org/officeDocument/2006/relationships/chart" Target="../charts/chart16.xml"/><Relationship Id="rId29" Type="http://schemas.openxmlformats.org/officeDocument/2006/relationships/image" Target="../media/image34.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8.png"/><Relationship Id="rId32" Type="http://schemas.openxmlformats.org/officeDocument/2006/relationships/image" Target="../media/image15.png"/><Relationship Id="rId37" Type="http://schemas.openxmlformats.org/officeDocument/2006/relationships/image" Target="../media/image40.png"/><Relationship Id="rId40" Type="http://schemas.openxmlformats.org/officeDocument/2006/relationships/image" Target="../media/image43.png"/><Relationship Id="rId45" Type="http://schemas.openxmlformats.org/officeDocument/2006/relationships/image" Target="../media/image47.png"/><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image" Target="../media/image30.png"/><Relationship Id="rId28" Type="http://schemas.openxmlformats.org/officeDocument/2006/relationships/image" Target="../media/image10.png"/><Relationship Id="rId36" Type="http://schemas.openxmlformats.org/officeDocument/2006/relationships/image" Target="../media/image39.png"/><Relationship Id="rId10" Type="http://schemas.openxmlformats.org/officeDocument/2006/relationships/chart" Target="../charts/chart10.xml"/><Relationship Id="rId19" Type="http://schemas.openxmlformats.org/officeDocument/2006/relationships/image" Target="../media/image3.png"/><Relationship Id="rId31" Type="http://schemas.openxmlformats.org/officeDocument/2006/relationships/image" Target="../media/image36.png"/><Relationship Id="rId44" Type="http://schemas.openxmlformats.org/officeDocument/2006/relationships/image" Target="../media/image28.png"/><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image" Target="../media/image29.png"/><Relationship Id="rId27" Type="http://schemas.openxmlformats.org/officeDocument/2006/relationships/image" Target="../media/image33.png"/><Relationship Id="rId30" Type="http://schemas.openxmlformats.org/officeDocument/2006/relationships/image" Target="../media/image35.png"/><Relationship Id="rId35" Type="http://schemas.openxmlformats.org/officeDocument/2006/relationships/image" Target="../media/image38.png"/><Relationship Id="rId43" Type="http://schemas.openxmlformats.org/officeDocument/2006/relationships/image" Target="../media/image46.png"/><Relationship Id="rId8" Type="http://schemas.openxmlformats.org/officeDocument/2006/relationships/chart" Target="../charts/chart8.xml"/><Relationship Id="rId3" Type="http://schemas.openxmlformats.org/officeDocument/2006/relationships/chart" Target="../charts/chart3.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image" Target="../media/image31.png"/><Relationship Id="rId33" Type="http://schemas.openxmlformats.org/officeDocument/2006/relationships/image" Target="../media/image37.png"/><Relationship Id="rId38" Type="http://schemas.openxmlformats.org/officeDocument/2006/relationships/image" Target="../media/image41.png"/><Relationship Id="rId20" Type="http://schemas.openxmlformats.org/officeDocument/2006/relationships/image" Target="../media/image4.png"/><Relationship Id="rId41" Type="http://schemas.openxmlformats.org/officeDocument/2006/relationships/image" Target="../media/image44.png"/></Relationships>
</file>

<file path=xl/drawings/_rels/drawing4.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32.png"/><Relationship Id="rId7" Type="http://schemas.openxmlformats.org/officeDocument/2006/relationships/image" Target="../media/image15.png"/><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image" Target="../media/image10.png"/><Relationship Id="rId5" Type="http://schemas.openxmlformats.org/officeDocument/2006/relationships/image" Target="../media/image48.png"/><Relationship Id="rId10" Type="http://schemas.openxmlformats.org/officeDocument/2006/relationships/image" Target="../media/image49.png"/><Relationship Id="rId4" Type="http://schemas.openxmlformats.org/officeDocument/2006/relationships/image" Target="../media/image3.png"/><Relationship Id="rId9" Type="http://schemas.openxmlformats.org/officeDocument/2006/relationships/image" Target="../media/image4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290512</xdr:rowOff>
    </xdr:from>
    <xdr:to>
      <xdr:col>2</xdr:col>
      <xdr:colOff>438160</xdr:colOff>
      <xdr:row>3</xdr:row>
      <xdr:rowOff>32472</xdr:rowOff>
    </xdr:to>
    <xdr:pic>
      <xdr:nvPicPr>
        <xdr:cNvPr id="2" name="Image 4">
          <a:hlinkClick xmlns:r="http://schemas.openxmlformats.org/officeDocument/2006/relationships" r:id="rId1"/>
          <a:extLst>
            <a:ext uri="{FF2B5EF4-FFF2-40B4-BE49-F238E27FC236}">
              <a16:creationId xmlns:a16="http://schemas.microsoft.com/office/drawing/2014/main" id="{20A9B96F-3AA9-4960-A767-849C00B1A019}"/>
            </a:ext>
          </a:extLst>
        </xdr:cNvPr>
        <xdr:cNvPicPr>
          <a:picLocks noChangeAspect="1"/>
        </xdr:cNvPicPr>
      </xdr:nvPicPr>
      <xdr:blipFill>
        <a:blip xmlns:r="http://schemas.openxmlformats.org/officeDocument/2006/relationships" r:embed="rId2" cstate="print"/>
        <a:srcRect/>
        <a:stretch>
          <a:fillRect/>
        </a:stretch>
      </xdr:blipFill>
      <xdr:spPr bwMode="auto">
        <a:xfrm>
          <a:off x="0" y="290512"/>
          <a:ext cx="736899" cy="733426"/>
        </a:xfrm>
        <a:prstGeom prst="rect">
          <a:avLst/>
        </a:prstGeom>
        <a:noFill/>
        <a:ln w="9525">
          <a:noFill/>
          <a:miter lim="800000"/>
          <a:headEnd/>
          <a:tailEnd/>
        </a:ln>
      </xdr:spPr>
    </xdr:pic>
    <xdr:clientData/>
  </xdr:twoCellAnchor>
  <xdr:twoCellAnchor editAs="oneCell">
    <xdr:from>
      <xdr:col>1</xdr:col>
      <xdr:colOff>8658</xdr:colOff>
      <xdr:row>12</xdr:row>
      <xdr:rowOff>42429</xdr:rowOff>
    </xdr:from>
    <xdr:to>
      <xdr:col>4</xdr:col>
      <xdr:colOff>225136</xdr:colOff>
      <xdr:row>13</xdr:row>
      <xdr:rowOff>591271</xdr:rowOff>
    </xdr:to>
    <xdr:pic>
      <xdr:nvPicPr>
        <xdr:cNvPr id="5" name="Image 4">
          <a:extLst>
            <a:ext uri="{FF2B5EF4-FFF2-40B4-BE49-F238E27FC236}">
              <a16:creationId xmlns:a16="http://schemas.microsoft.com/office/drawing/2014/main" id="{E03F6DF2-9763-47D9-98C1-6097D875DD71}"/>
            </a:ext>
          </a:extLst>
        </xdr:cNvPr>
        <xdr:cNvPicPr>
          <a:picLocks noChangeAspect="1"/>
        </xdr:cNvPicPr>
      </xdr:nvPicPr>
      <xdr:blipFill>
        <a:blip xmlns:r="http://schemas.openxmlformats.org/officeDocument/2006/relationships" r:embed="rId3"/>
        <a:stretch>
          <a:fillRect/>
        </a:stretch>
      </xdr:blipFill>
      <xdr:spPr>
        <a:xfrm>
          <a:off x="155863" y="5895974"/>
          <a:ext cx="1861705" cy="71336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196103</xdr:colOff>
      <xdr:row>2</xdr:row>
      <xdr:rowOff>67236</xdr:rowOff>
    </xdr:from>
    <xdr:to>
      <xdr:col>0</xdr:col>
      <xdr:colOff>555953</xdr:colOff>
      <xdr:row>4</xdr:row>
      <xdr:rowOff>135732</xdr:rowOff>
    </xdr:to>
    <xdr:pic>
      <xdr:nvPicPr>
        <xdr:cNvPr id="2" name="Image 1">
          <a:extLst>
            <a:ext uri="{FF2B5EF4-FFF2-40B4-BE49-F238E27FC236}">
              <a16:creationId xmlns:a16="http://schemas.microsoft.com/office/drawing/2014/main" id="{5C8E6B45-D3E8-4615-AF43-50A58E8CCE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6103" y="364192"/>
          <a:ext cx="365565" cy="365565"/>
        </a:xfrm>
        <a:prstGeom prst="rect">
          <a:avLst/>
        </a:prstGeom>
      </xdr:spPr>
    </xdr:pic>
    <xdr:clientData/>
  </xdr:twoCellAnchor>
  <xdr:twoCellAnchor editAs="oneCell">
    <xdr:from>
      <xdr:col>0</xdr:col>
      <xdr:colOff>179294</xdr:colOff>
      <xdr:row>11</xdr:row>
      <xdr:rowOff>117663</xdr:rowOff>
    </xdr:from>
    <xdr:to>
      <xdr:col>0</xdr:col>
      <xdr:colOff>548819</xdr:colOff>
      <xdr:row>14</xdr:row>
      <xdr:rowOff>40632</xdr:rowOff>
    </xdr:to>
    <xdr:pic>
      <xdr:nvPicPr>
        <xdr:cNvPr id="3" name="Image 2">
          <a:extLst>
            <a:ext uri="{FF2B5EF4-FFF2-40B4-BE49-F238E27FC236}">
              <a16:creationId xmlns:a16="http://schemas.microsoft.com/office/drawing/2014/main" id="{29DFAABE-0EFE-47C8-B565-BFBDCD029D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79294" y="1580031"/>
          <a:ext cx="360000" cy="360000"/>
        </a:xfrm>
        <a:prstGeom prst="rect">
          <a:avLst/>
        </a:prstGeom>
      </xdr:spPr>
    </xdr:pic>
    <xdr:clientData/>
  </xdr:twoCellAnchor>
  <xdr:twoCellAnchor editAs="oneCell">
    <xdr:from>
      <xdr:col>0</xdr:col>
      <xdr:colOff>218515</xdr:colOff>
      <xdr:row>20</xdr:row>
      <xdr:rowOff>50428</xdr:rowOff>
    </xdr:from>
    <xdr:to>
      <xdr:col>0</xdr:col>
      <xdr:colOff>588040</xdr:colOff>
      <xdr:row>22</xdr:row>
      <xdr:rowOff>134315</xdr:rowOff>
    </xdr:to>
    <xdr:pic>
      <xdr:nvPicPr>
        <xdr:cNvPr id="4" name="Image 3">
          <a:extLst>
            <a:ext uri="{FF2B5EF4-FFF2-40B4-BE49-F238E27FC236}">
              <a16:creationId xmlns:a16="http://schemas.microsoft.com/office/drawing/2014/main" id="{49E643D7-612B-4CE7-B264-7BCF8C70C6D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18515" y="2823884"/>
          <a:ext cx="360000" cy="360000"/>
        </a:xfrm>
        <a:prstGeom prst="rect">
          <a:avLst/>
        </a:prstGeom>
      </xdr:spPr>
    </xdr:pic>
    <xdr:clientData/>
  </xdr:twoCellAnchor>
  <xdr:twoCellAnchor editAs="oneCell">
    <xdr:from>
      <xdr:col>0</xdr:col>
      <xdr:colOff>240926</xdr:colOff>
      <xdr:row>30</xdr:row>
      <xdr:rowOff>95250</xdr:rowOff>
    </xdr:from>
    <xdr:to>
      <xdr:col>0</xdr:col>
      <xdr:colOff>589496</xdr:colOff>
      <xdr:row>33</xdr:row>
      <xdr:rowOff>18221</xdr:rowOff>
    </xdr:to>
    <xdr:pic>
      <xdr:nvPicPr>
        <xdr:cNvPr id="5" name="Image 4">
          <a:extLst>
            <a:ext uri="{FF2B5EF4-FFF2-40B4-BE49-F238E27FC236}">
              <a16:creationId xmlns:a16="http://schemas.microsoft.com/office/drawing/2014/main" id="{0D78F84A-ACC1-4117-BB61-25BD3ED325F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0926" y="4476750"/>
          <a:ext cx="360000" cy="360000"/>
        </a:xfrm>
        <a:prstGeom prst="rect">
          <a:avLst/>
        </a:prstGeom>
      </xdr:spPr>
    </xdr:pic>
    <xdr:clientData/>
  </xdr:twoCellAnchor>
  <xdr:twoCellAnchor editAs="oneCell">
    <xdr:from>
      <xdr:col>0</xdr:col>
      <xdr:colOff>173691</xdr:colOff>
      <xdr:row>41</xdr:row>
      <xdr:rowOff>95252</xdr:rowOff>
    </xdr:from>
    <xdr:to>
      <xdr:col>0</xdr:col>
      <xdr:colOff>533691</xdr:colOff>
      <xdr:row>44</xdr:row>
      <xdr:rowOff>18222</xdr:rowOff>
    </xdr:to>
    <xdr:pic>
      <xdr:nvPicPr>
        <xdr:cNvPr id="6" name="Image 5">
          <a:extLst>
            <a:ext uri="{FF2B5EF4-FFF2-40B4-BE49-F238E27FC236}">
              <a16:creationId xmlns:a16="http://schemas.microsoft.com/office/drawing/2014/main" id="{89A7A43E-3270-4899-ADA4-792E6DE4C5A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73691" y="6079193"/>
          <a:ext cx="360000" cy="360000"/>
        </a:xfrm>
        <a:prstGeom prst="rect">
          <a:avLst/>
        </a:prstGeom>
      </xdr:spPr>
    </xdr:pic>
    <xdr:clientData/>
  </xdr:twoCellAnchor>
  <xdr:twoCellAnchor editAs="oneCell">
    <xdr:from>
      <xdr:col>0</xdr:col>
      <xdr:colOff>173692</xdr:colOff>
      <xdr:row>48</xdr:row>
      <xdr:rowOff>89649</xdr:rowOff>
    </xdr:from>
    <xdr:to>
      <xdr:col>0</xdr:col>
      <xdr:colOff>533692</xdr:colOff>
      <xdr:row>51</xdr:row>
      <xdr:rowOff>20239</xdr:rowOff>
    </xdr:to>
    <xdr:pic>
      <xdr:nvPicPr>
        <xdr:cNvPr id="7" name="Image 6">
          <a:extLst>
            <a:ext uri="{FF2B5EF4-FFF2-40B4-BE49-F238E27FC236}">
              <a16:creationId xmlns:a16="http://schemas.microsoft.com/office/drawing/2014/main" id="{AA4E10E3-6FD2-489B-98CA-87A5759ED84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73692" y="7093325"/>
          <a:ext cx="360000" cy="360000"/>
        </a:xfrm>
        <a:prstGeom prst="rect">
          <a:avLst/>
        </a:prstGeom>
      </xdr:spPr>
    </xdr:pic>
    <xdr:clientData/>
  </xdr:twoCellAnchor>
  <xdr:twoCellAnchor editAs="oneCell">
    <xdr:from>
      <xdr:col>0</xdr:col>
      <xdr:colOff>162486</xdr:colOff>
      <xdr:row>55</xdr:row>
      <xdr:rowOff>140073</xdr:rowOff>
    </xdr:from>
    <xdr:to>
      <xdr:col>0</xdr:col>
      <xdr:colOff>516771</xdr:colOff>
      <xdr:row>58</xdr:row>
      <xdr:rowOff>55424</xdr:rowOff>
    </xdr:to>
    <xdr:pic>
      <xdr:nvPicPr>
        <xdr:cNvPr id="8" name="Image 7">
          <a:extLst>
            <a:ext uri="{FF2B5EF4-FFF2-40B4-BE49-F238E27FC236}">
              <a16:creationId xmlns:a16="http://schemas.microsoft.com/office/drawing/2014/main" id="{EE02E03F-C70A-43D6-A4D0-07579ECC9A7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62486" y="8163485"/>
          <a:ext cx="360000" cy="360000"/>
        </a:xfrm>
        <a:prstGeom prst="rect">
          <a:avLst/>
        </a:prstGeom>
      </xdr:spPr>
    </xdr:pic>
    <xdr:clientData/>
  </xdr:twoCellAnchor>
  <xdr:twoCellAnchor editAs="oneCell">
    <xdr:from>
      <xdr:col>0</xdr:col>
      <xdr:colOff>145677</xdr:colOff>
      <xdr:row>63</xdr:row>
      <xdr:rowOff>16809</xdr:rowOff>
    </xdr:from>
    <xdr:to>
      <xdr:col>0</xdr:col>
      <xdr:colOff>511392</xdr:colOff>
      <xdr:row>65</xdr:row>
      <xdr:rowOff>96888</xdr:rowOff>
    </xdr:to>
    <xdr:pic>
      <xdr:nvPicPr>
        <xdr:cNvPr id="10" name="Image 9">
          <a:extLst>
            <a:ext uri="{FF2B5EF4-FFF2-40B4-BE49-F238E27FC236}">
              <a16:creationId xmlns:a16="http://schemas.microsoft.com/office/drawing/2014/main" id="{AB994FB0-E651-47C1-AFC3-5D2F35CF2CC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45677" y="9205633"/>
          <a:ext cx="360000" cy="360000"/>
        </a:xfrm>
        <a:prstGeom prst="rect">
          <a:avLst/>
        </a:prstGeom>
      </xdr:spPr>
    </xdr:pic>
    <xdr:clientData/>
  </xdr:twoCellAnchor>
  <xdr:twoCellAnchor editAs="oneCell">
    <xdr:from>
      <xdr:col>0</xdr:col>
      <xdr:colOff>117662</xdr:colOff>
      <xdr:row>70</xdr:row>
      <xdr:rowOff>11206</xdr:rowOff>
    </xdr:from>
    <xdr:to>
      <xdr:col>0</xdr:col>
      <xdr:colOff>477662</xdr:colOff>
      <xdr:row>72</xdr:row>
      <xdr:rowOff>79854</xdr:rowOff>
    </xdr:to>
    <xdr:pic>
      <xdr:nvPicPr>
        <xdr:cNvPr id="12" name="Image 11">
          <a:extLst>
            <a:ext uri="{FF2B5EF4-FFF2-40B4-BE49-F238E27FC236}">
              <a16:creationId xmlns:a16="http://schemas.microsoft.com/office/drawing/2014/main" id="{A6F9E51E-A960-4FEB-AFF3-A61400A1FEBF}"/>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7662" y="10365441"/>
          <a:ext cx="360000" cy="360000"/>
        </a:xfrm>
        <a:prstGeom prst="rect">
          <a:avLst/>
        </a:prstGeom>
      </xdr:spPr>
    </xdr:pic>
    <xdr:clientData/>
  </xdr:twoCellAnchor>
  <xdr:twoCellAnchor editAs="oneCell">
    <xdr:from>
      <xdr:col>0</xdr:col>
      <xdr:colOff>117662</xdr:colOff>
      <xdr:row>88</xdr:row>
      <xdr:rowOff>128868</xdr:rowOff>
    </xdr:from>
    <xdr:to>
      <xdr:col>0</xdr:col>
      <xdr:colOff>477662</xdr:colOff>
      <xdr:row>91</xdr:row>
      <xdr:rowOff>59460</xdr:rowOff>
    </xdr:to>
    <xdr:pic>
      <xdr:nvPicPr>
        <xdr:cNvPr id="14" name="Image 13">
          <a:extLst>
            <a:ext uri="{FF2B5EF4-FFF2-40B4-BE49-F238E27FC236}">
              <a16:creationId xmlns:a16="http://schemas.microsoft.com/office/drawing/2014/main" id="{701B0D1A-D6F3-4457-A988-4CA223F914DF}"/>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7662" y="12668250"/>
          <a:ext cx="360000" cy="360000"/>
        </a:xfrm>
        <a:prstGeom prst="rect">
          <a:avLst/>
        </a:prstGeom>
      </xdr:spPr>
    </xdr:pic>
    <xdr:clientData/>
  </xdr:twoCellAnchor>
  <xdr:twoCellAnchor editAs="oneCell">
    <xdr:from>
      <xdr:col>0</xdr:col>
      <xdr:colOff>112059</xdr:colOff>
      <xdr:row>81</xdr:row>
      <xdr:rowOff>100852</xdr:rowOff>
    </xdr:from>
    <xdr:to>
      <xdr:col>0</xdr:col>
      <xdr:colOff>479679</xdr:colOff>
      <xdr:row>84</xdr:row>
      <xdr:rowOff>16201</xdr:rowOff>
    </xdr:to>
    <xdr:pic>
      <xdr:nvPicPr>
        <xdr:cNvPr id="16" name="Image 15">
          <a:extLst>
            <a:ext uri="{FF2B5EF4-FFF2-40B4-BE49-F238E27FC236}">
              <a16:creationId xmlns:a16="http://schemas.microsoft.com/office/drawing/2014/main" id="{E9A29FE8-F4D2-41CF-8A6E-8D6627BC0976}"/>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2059" y="11620499"/>
          <a:ext cx="360000" cy="360000"/>
        </a:xfrm>
        <a:prstGeom prst="rect">
          <a:avLst/>
        </a:prstGeom>
      </xdr:spPr>
    </xdr:pic>
    <xdr:clientData/>
  </xdr:twoCellAnchor>
  <xdr:twoCellAnchor editAs="oneCell">
    <xdr:from>
      <xdr:col>0</xdr:col>
      <xdr:colOff>145677</xdr:colOff>
      <xdr:row>102</xdr:row>
      <xdr:rowOff>117662</xdr:rowOff>
    </xdr:from>
    <xdr:to>
      <xdr:col>0</xdr:col>
      <xdr:colOff>511392</xdr:colOff>
      <xdr:row>105</xdr:row>
      <xdr:rowOff>40631</xdr:rowOff>
    </xdr:to>
    <xdr:pic>
      <xdr:nvPicPr>
        <xdr:cNvPr id="17" name="Image 16">
          <a:extLst>
            <a:ext uri="{FF2B5EF4-FFF2-40B4-BE49-F238E27FC236}">
              <a16:creationId xmlns:a16="http://schemas.microsoft.com/office/drawing/2014/main" id="{678379AB-E7BE-4C37-8CCF-A9AD1736D5D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45677" y="14696515"/>
          <a:ext cx="360000" cy="360000"/>
        </a:xfrm>
        <a:prstGeom prst="rect">
          <a:avLst/>
        </a:prstGeom>
      </xdr:spPr>
    </xdr:pic>
    <xdr:clientData/>
  </xdr:twoCellAnchor>
  <xdr:twoCellAnchor editAs="oneCell">
    <xdr:from>
      <xdr:col>0</xdr:col>
      <xdr:colOff>151280</xdr:colOff>
      <xdr:row>111</xdr:row>
      <xdr:rowOff>72837</xdr:rowOff>
    </xdr:from>
    <xdr:to>
      <xdr:col>0</xdr:col>
      <xdr:colOff>511280</xdr:colOff>
      <xdr:row>113</xdr:row>
      <xdr:rowOff>135769</xdr:rowOff>
    </xdr:to>
    <xdr:pic>
      <xdr:nvPicPr>
        <xdr:cNvPr id="19" name="Image 18">
          <a:extLst>
            <a:ext uri="{FF2B5EF4-FFF2-40B4-BE49-F238E27FC236}">
              <a16:creationId xmlns:a16="http://schemas.microsoft.com/office/drawing/2014/main" id="{E33117A3-9F09-435D-AB68-503A7C263C62}"/>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51280" y="15968382"/>
          <a:ext cx="360000" cy="360000"/>
        </a:xfrm>
        <a:prstGeom prst="rect">
          <a:avLst/>
        </a:prstGeom>
      </xdr:spPr>
    </xdr:pic>
    <xdr:clientData/>
  </xdr:twoCellAnchor>
  <xdr:twoCellAnchor editAs="oneCell">
    <xdr:from>
      <xdr:col>0</xdr:col>
      <xdr:colOff>196103</xdr:colOff>
      <xdr:row>134</xdr:row>
      <xdr:rowOff>106455</xdr:rowOff>
    </xdr:from>
    <xdr:to>
      <xdr:col>0</xdr:col>
      <xdr:colOff>556103</xdr:colOff>
      <xdr:row>137</xdr:row>
      <xdr:rowOff>17996</xdr:rowOff>
    </xdr:to>
    <xdr:pic>
      <xdr:nvPicPr>
        <xdr:cNvPr id="21" name="Image 20">
          <a:extLst>
            <a:ext uri="{FF2B5EF4-FFF2-40B4-BE49-F238E27FC236}">
              <a16:creationId xmlns:a16="http://schemas.microsoft.com/office/drawing/2014/main" id="{D9F2B12E-98DA-4423-9269-3FCEC03FAD1F}"/>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96103" y="19352559"/>
          <a:ext cx="360000" cy="360000"/>
        </a:xfrm>
        <a:prstGeom prst="rect">
          <a:avLst/>
        </a:prstGeom>
      </xdr:spPr>
    </xdr:pic>
    <xdr:clientData/>
  </xdr:twoCellAnchor>
  <xdr:twoCellAnchor editAs="oneCell">
    <xdr:from>
      <xdr:col>0</xdr:col>
      <xdr:colOff>184897</xdr:colOff>
      <xdr:row>128</xdr:row>
      <xdr:rowOff>106456</xdr:rowOff>
    </xdr:from>
    <xdr:to>
      <xdr:col>0</xdr:col>
      <xdr:colOff>552517</xdr:colOff>
      <xdr:row>131</xdr:row>
      <xdr:rowOff>17997</xdr:rowOff>
    </xdr:to>
    <xdr:pic>
      <xdr:nvPicPr>
        <xdr:cNvPr id="23" name="Image 22">
          <a:extLst>
            <a:ext uri="{FF2B5EF4-FFF2-40B4-BE49-F238E27FC236}">
              <a16:creationId xmlns:a16="http://schemas.microsoft.com/office/drawing/2014/main" id="{794641F9-6714-4A31-AC73-75AD25CE25F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84897" y="18478501"/>
          <a:ext cx="360000" cy="360000"/>
        </a:xfrm>
        <a:prstGeom prst="rect">
          <a:avLst/>
        </a:prstGeom>
      </xdr:spPr>
    </xdr:pic>
    <xdr:clientData/>
  </xdr:twoCellAnchor>
  <xdr:twoCellAnchor editAs="oneCell">
    <xdr:from>
      <xdr:col>0</xdr:col>
      <xdr:colOff>168088</xdr:colOff>
      <xdr:row>143</xdr:row>
      <xdr:rowOff>56029</xdr:rowOff>
    </xdr:from>
    <xdr:to>
      <xdr:col>0</xdr:col>
      <xdr:colOff>512848</xdr:colOff>
      <xdr:row>145</xdr:row>
      <xdr:rowOff>130391</xdr:rowOff>
    </xdr:to>
    <xdr:pic>
      <xdr:nvPicPr>
        <xdr:cNvPr id="27" name="Image 26">
          <a:extLst>
            <a:ext uri="{FF2B5EF4-FFF2-40B4-BE49-F238E27FC236}">
              <a16:creationId xmlns:a16="http://schemas.microsoft.com/office/drawing/2014/main" id="{AAA9C703-26CE-4F97-B77A-2AC331A87C22}"/>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68088" y="20613221"/>
          <a:ext cx="360000" cy="360000"/>
        </a:xfrm>
        <a:prstGeom prst="rect">
          <a:avLst/>
        </a:prstGeom>
      </xdr:spPr>
    </xdr:pic>
    <xdr:clientData/>
  </xdr:twoCellAnchor>
  <xdr:twoCellAnchor editAs="oneCell">
    <xdr:from>
      <xdr:col>0</xdr:col>
      <xdr:colOff>151280</xdr:colOff>
      <xdr:row>163</xdr:row>
      <xdr:rowOff>0</xdr:rowOff>
    </xdr:from>
    <xdr:to>
      <xdr:col>0</xdr:col>
      <xdr:colOff>511280</xdr:colOff>
      <xdr:row>165</xdr:row>
      <xdr:rowOff>59122</xdr:rowOff>
    </xdr:to>
    <xdr:pic>
      <xdr:nvPicPr>
        <xdr:cNvPr id="29" name="Image 28">
          <a:extLst>
            <a:ext uri="{FF2B5EF4-FFF2-40B4-BE49-F238E27FC236}">
              <a16:creationId xmlns:a16="http://schemas.microsoft.com/office/drawing/2014/main" id="{1C697E62-2BCF-4EA0-BCD3-5DB02F0B0CBB}"/>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51280" y="21728206"/>
          <a:ext cx="360000" cy="360000"/>
        </a:xfrm>
        <a:prstGeom prst="rect">
          <a:avLst/>
        </a:prstGeom>
      </xdr:spPr>
    </xdr:pic>
    <xdr:clientData/>
  </xdr:twoCellAnchor>
  <xdr:twoCellAnchor editAs="oneCell">
    <xdr:from>
      <xdr:col>0</xdr:col>
      <xdr:colOff>196103</xdr:colOff>
      <xdr:row>177</xdr:row>
      <xdr:rowOff>84045</xdr:rowOff>
    </xdr:from>
    <xdr:to>
      <xdr:col>0</xdr:col>
      <xdr:colOff>556103</xdr:colOff>
      <xdr:row>180</xdr:row>
      <xdr:rowOff>16543</xdr:rowOff>
    </xdr:to>
    <xdr:pic>
      <xdr:nvPicPr>
        <xdr:cNvPr id="31" name="Image 30">
          <a:extLst>
            <a:ext uri="{FF2B5EF4-FFF2-40B4-BE49-F238E27FC236}">
              <a16:creationId xmlns:a16="http://schemas.microsoft.com/office/drawing/2014/main" id="{500336A2-ECA7-4491-94AD-CD40B54363FE}"/>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96103" y="23123339"/>
          <a:ext cx="360000" cy="360000"/>
        </a:xfrm>
        <a:prstGeom prst="rect">
          <a:avLst/>
        </a:prstGeom>
      </xdr:spPr>
    </xdr:pic>
    <xdr:clientData/>
  </xdr:twoCellAnchor>
  <xdr:twoCellAnchor editAs="oneCell">
    <xdr:from>
      <xdr:col>0</xdr:col>
      <xdr:colOff>161207</xdr:colOff>
      <xdr:row>203</xdr:row>
      <xdr:rowOff>49147</xdr:rowOff>
    </xdr:from>
    <xdr:to>
      <xdr:col>0</xdr:col>
      <xdr:colOff>513587</xdr:colOff>
      <xdr:row>205</xdr:row>
      <xdr:rowOff>117794</xdr:rowOff>
    </xdr:to>
    <xdr:pic>
      <xdr:nvPicPr>
        <xdr:cNvPr id="33" name="Image 32">
          <a:extLst>
            <a:ext uri="{FF2B5EF4-FFF2-40B4-BE49-F238E27FC236}">
              <a16:creationId xmlns:a16="http://schemas.microsoft.com/office/drawing/2014/main" id="{6DA95CA7-27C0-42D8-B894-DF2965807EC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61207" y="25273588"/>
          <a:ext cx="360000" cy="360000"/>
        </a:xfrm>
        <a:prstGeom prst="rect">
          <a:avLst/>
        </a:prstGeom>
      </xdr:spPr>
    </xdr:pic>
    <xdr:clientData/>
  </xdr:twoCellAnchor>
  <xdr:twoCellAnchor editAs="oneCell">
    <xdr:from>
      <xdr:col>0</xdr:col>
      <xdr:colOff>201706</xdr:colOff>
      <xdr:row>122</xdr:row>
      <xdr:rowOff>44824</xdr:rowOff>
    </xdr:from>
    <xdr:to>
      <xdr:col>0</xdr:col>
      <xdr:colOff>555991</xdr:colOff>
      <xdr:row>124</xdr:row>
      <xdr:rowOff>113470</xdr:rowOff>
    </xdr:to>
    <xdr:pic>
      <xdr:nvPicPr>
        <xdr:cNvPr id="37" name="Image 36">
          <a:extLst>
            <a:ext uri="{FF2B5EF4-FFF2-40B4-BE49-F238E27FC236}">
              <a16:creationId xmlns:a16="http://schemas.microsoft.com/office/drawing/2014/main" id="{4F5D8E85-BB85-4ECC-89F1-F573DE788A4D}"/>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201706" y="17542810"/>
          <a:ext cx="360000" cy="360000"/>
        </a:xfrm>
        <a:prstGeom prst="rect">
          <a:avLst/>
        </a:prstGeom>
      </xdr:spPr>
    </xdr:pic>
    <xdr:clientData/>
  </xdr:twoCellAnchor>
  <xdr:twoCellAnchor editAs="oneCell">
    <xdr:from>
      <xdr:col>0</xdr:col>
      <xdr:colOff>190421</xdr:colOff>
      <xdr:row>211</xdr:row>
      <xdr:rowOff>93571</xdr:rowOff>
    </xdr:from>
    <xdr:to>
      <xdr:col>0</xdr:col>
      <xdr:colOff>550421</xdr:colOff>
      <xdr:row>214</xdr:row>
      <xdr:rowOff>16540</xdr:rowOff>
    </xdr:to>
    <xdr:pic>
      <xdr:nvPicPr>
        <xdr:cNvPr id="41" name="Image 40">
          <a:extLst>
            <a:ext uri="{FF2B5EF4-FFF2-40B4-BE49-F238E27FC236}">
              <a16:creationId xmlns:a16="http://schemas.microsoft.com/office/drawing/2014/main" id="{B64E67E7-4D42-46E6-A99A-B5920C94DE1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90421" y="29280892"/>
          <a:ext cx="360000" cy="372005"/>
        </a:xfrm>
        <a:prstGeom prst="rect">
          <a:avLst/>
        </a:prstGeom>
      </xdr:spPr>
    </xdr:pic>
    <xdr:clientData/>
  </xdr:twoCellAnchor>
  <xdr:twoCellAnchor editAs="oneCell">
    <xdr:from>
      <xdr:col>0</xdr:col>
      <xdr:colOff>173693</xdr:colOff>
      <xdr:row>223</xdr:row>
      <xdr:rowOff>28014</xdr:rowOff>
    </xdr:from>
    <xdr:to>
      <xdr:col>0</xdr:col>
      <xdr:colOff>533693</xdr:colOff>
      <xdr:row>225</xdr:row>
      <xdr:rowOff>96661</xdr:rowOff>
    </xdr:to>
    <xdr:pic>
      <xdr:nvPicPr>
        <xdr:cNvPr id="43" name="Image 42">
          <a:extLst>
            <a:ext uri="{FF2B5EF4-FFF2-40B4-BE49-F238E27FC236}">
              <a16:creationId xmlns:a16="http://schemas.microsoft.com/office/drawing/2014/main" id="{20B7E46C-567E-4498-B152-096F58B6B76A}"/>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173693" y="30216661"/>
          <a:ext cx="360000" cy="360000"/>
        </a:xfrm>
        <a:prstGeom prst="rect">
          <a:avLst/>
        </a:prstGeom>
      </xdr:spPr>
    </xdr:pic>
    <xdr:clientData/>
  </xdr:twoCellAnchor>
  <xdr:twoCellAnchor editAs="oneCell">
    <xdr:from>
      <xdr:col>0</xdr:col>
      <xdr:colOff>161685</xdr:colOff>
      <xdr:row>234</xdr:row>
      <xdr:rowOff>15610</xdr:rowOff>
    </xdr:from>
    <xdr:to>
      <xdr:col>0</xdr:col>
      <xdr:colOff>514065</xdr:colOff>
      <xdr:row>236</xdr:row>
      <xdr:rowOff>95688</xdr:rowOff>
    </xdr:to>
    <xdr:pic>
      <xdr:nvPicPr>
        <xdr:cNvPr id="45" name="Image 44">
          <a:extLst>
            <a:ext uri="{FF2B5EF4-FFF2-40B4-BE49-F238E27FC236}">
              <a16:creationId xmlns:a16="http://schemas.microsoft.com/office/drawing/2014/main" id="{BF1125C8-8D91-4924-A706-ECE1BB322D8C}"/>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161685" y="32645539"/>
          <a:ext cx="360000" cy="368004"/>
        </a:xfrm>
        <a:prstGeom prst="rect">
          <a:avLst/>
        </a:prstGeom>
      </xdr:spPr>
    </xdr:pic>
    <xdr:clientData/>
  </xdr:twoCellAnchor>
  <xdr:twoCellAnchor editAs="oneCell">
    <xdr:from>
      <xdr:col>0</xdr:col>
      <xdr:colOff>156482</xdr:colOff>
      <xdr:row>150</xdr:row>
      <xdr:rowOff>142876</xdr:rowOff>
    </xdr:from>
    <xdr:to>
      <xdr:col>0</xdr:col>
      <xdr:colOff>516482</xdr:colOff>
      <xdr:row>153</xdr:row>
      <xdr:rowOff>55409</xdr:rowOff>
    </xdr:to>
    <xdr:pic>
      <xdr:nvPicPr>
        <xdr:cNvPr id="46" name="Image 45">
          <a:extLst>
            <a:ext uri="{FF2B5EF4-FFF2-40B4-BE49-F238E27FC236}">
              <a16:creationId xmlns:a16="http://schemas.microsoft.com/office/drawing/2014/main" id="{6DD2E9AE-D80C-4255-8AD7-5FA911883215}"/>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156482" y="22744340"/>
          <a:ext cx="360000" cy="360000"/>
        </a:xfrm>
        <a:prstGeom prst="rect">
          <a:avLst/>
        </a:prstGeom>
      </xdr:spPr>
    </xdr:pic>
    <xdr:clientData/>
  </xdr:twoCellAnchor>
  <xdr:twoCellAnchor editAs="oneCell">
    <xdr:from>
      <xdr:col>0</xdr:col>
      <xdr:colOff>156484</xdr:colOff>
      <xdr:row>193</xdr:row>
      <xdr:rowOff>129268</xdr:rowOff>
    </xdr:from>
    <xdr:to>
      <xdr:col>0</xdr:col>
      <xdr:colOff>516484</xdr:colOff>
      <xdr:row>196</xdr:row>
      <xdr:rowOff>40234</xdr:rowOff>
    </xdr:to>
    <xdr:pic>
      <xdr:nvPicPr>
        <xdr:cNvPr id="48" name="Image 47">
          <a:extLst>
            <a:ext uri="{FF2B5EF4-FFF2-40B4-BE49-F238E27FC236}">
              <a16:creationId xmlns:a16="http://schemas.microsoft.com/office/drawing/2014/main" id="{F2309D4B-A8B6-4C42-B398-3B24C034B0F2}"/>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156484" y="29166911"/>
          <a:ext cx="360000" cy="360000"/>
        </a:xfrm>
        <a:prstGeom prst="rect">
          <a:avLst/>
        </a:prstGeom>
      </xdr:spPr>
    </xdr:pic>
    <xdr:clientData/>
  </xdr:twoCellAnchor>
  <xdr:twoCellAnchor editAs="oneCell">
    <xdr:from>
      <xdr:col>16</xdr:col>
      <xdr:colOff>469446</xdr:colOff>
      <xdr:row>3</xdr:row>
      <xdr:rowOff>27214</xdr:rowOff>
    </xdr:from>
    <xdr:to>
      <xdr:col>17</xdr:col>
      <xdr:colOff>478325</xdr:colOff>
      <xdr:row>7</xdr:row>
      <xdr:rowOff>130254</xdr:rowOff>
    </xdr:to>
    <xdr:pic>
      <xdr:nvPicPr>
        <xdr:cNvPr id="54" name="Image 53">
          <a:extLst>
            <a:ext uri="{FF2B5EF4-FFF2-40B4-BE49-F238E27FC236}">
              <a16:creationId xmlns:a16="http://schemas.microsoft.com/office/drawing/2014/main" id="{E55C3F41-FC02-40A1-AFBF-D77A2786D07E}"/>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20036517" y="476250"/>
          <a:ext cx="701756" cy="701756"/>
        </a:xfrm>
        <a:prstGeom prst="rect">
          <a:avLst/>
        </a:prstGeom>
      </xdr:spPr>
    </xdr:pic>
    <xdr:clientData/>
  </xdr:twoCellAnchor>
  <xdr:twoCellAnchor editAs="oneCell">
    <xdr:from>
      <xdr:col>0</xdr:col>
      <xdr:colOff>145676</xdr:colOff>
      <xdr:row>243</xdr:row>
      <xdr:rowOff>128868</xdr:rowOff>
    </xdr:from>
    <xdr:to>
      <xdr:col>0</xdr:col>
      <xdr:colOff>511391</xdr:colOff>
      <xdr:row>246</xdr:row>
      <xdr:rowOff>59458</xdr:rowOff>
    </xdr:to>
    <xdr:pic>
      <xdr:nvPicPr>
        <xdr:cNvPr id="56" name="Image 55">
          <a:extLst>
            <a:ext uri="{FF2B5EF4-FFF2-40B4-BE49-F238E27FC236}">
              <a16:creationId xmlns:a16="http://schemas.microsoft.com/office/drawing/2014/main" id="{6E8B35EC-8D89-4C45-BF72-DF992D30D719}"/>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145676" y="36122162"/>
          <a:ext cx="360000" cy="36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47626</xdr:colOff>
      <xdr:row>52</xdr:row>
      <xdr:rowOff>139700</xdr:rowOff>
    </xdr:from>
    <xdr:to>
      <xdr:col>16</xdr:col>
      <xdr:colOff>195262</xdr:colOff>
      <xdr:row>62</xdr:row>
      <xdr:rowOff>101600</xdr:rowOff>
    </xdr:to>
    <xdr:sp macro="" textlink="">
      <xdr:nvSpPr>
        <xdr:cNvPr id="13070655" name="AutoShape 56">
          <a:extLst>
            <a:ext uri="{FF2B5EF4-FFF2-40B4-BE49-F238E27FC236}">
              <a16:creationId xmlns:a16="http://schemas.microsoft.com/office/drawing/2014/main" id="{36578704-8706-4218-B7F0-6DCB2889FFB8}"/>
            </a:ext>
          </a:extLst>
        </xdr:cNvPr>
        <xdr:cNvSpPr>
          <a:spLocks noChangeArrowheads="1"/>
        </xdr:cNvSpPr>
      </xdr:nvSpPr>
      <xdr:spPr bwMode="auto">
        <a:xfrm>
          <a:off x="171451" y="7821613"/>
          <a:ext cx="17783174" cy="1495425"/>
        </a:xfrm>
        <a:prstGeom prst="roundRect">
          <a:avLst>
            <a:gd name="adj" fmla="val 6447"/>
          </a:avLst>
        </a:prstGeom>
        <a:noFill/>
        <a:ln w="38100" algn="ctr">
          <a:solidFill>
            <a:schemeClr val="tx1"/>
          </a:solidFill>
          <a:round/>
          <a:headEnd/>
          <a:tailEnd/>
        </a:ln>
      </xdr:spPr>
    </xdr:sp>
    <xdr:clientData/>
  </xdr:twoCellAnchor>
  <xdr:twoCellAnchor>
    <xdr:from>
      <xdr:col>0</xdr:col>
      <xdr:colOff>106456</xdr:colOff>
      <xdr:row>560</xdr:row>
      <xdr:rowOff>76200</xdr:rowOff>
    </xdr:from>
    <xdr:to>
      <xdr:col>15</xdr:col>
      <xdr:colOff>324971</xdr:colOff>
      <xdr:row>570</xdr:row>
      <xdr:rowOff>6350</xdr:rowOff>
    </xdr:to>
    <xdr:sp macro="" textlink="">
      <xdr:nvSpPr>
        <xdr:cNvPr id="13070636" name="AutoShape 90">
          <a:extLst>
            <a:ext uri="{FF2B5EF4-FFF2-40B4-BE49-F238E27FC236}">
              <a16:creationId xmlns:a16="http://schemas.microsoft.com/office/drawing/2014/main" id="{9A256F20-BA3E-40EE-AE4C-5EF5552E21E0}"/>
            </a:ext>
          </a:extLst>
        </xdr:cNvPr>
        <xdr:cNvSpPr>
          <a:spLocks noChangeArrowheads="1"/>
        </xdr:cNvSpPr>
      </xdr:nvSpPr>
      <xdr:spPr bwMode="auto">
        <a:xfrm>
          <a:off x="106456" y="89891347"/>
          <a:ext cx="16556691" cy="1454150"/>
        </a:xfrm>
        <a:prstGeom prst="roundRect">
          <a:avLst>
            <a:gd name="adj" fmla="val 16667"/>
          </a:avLst>
        </a:prstGeom>
        <a:noFill/>
        <a:ln w="38100" algn="ctr">
          <a:solidFill>
            <a:schemeClr val="accent4">
              <a:lumMod val="50000"/>
            </a:schemeClr>
          </a:solidFill>
          <a:round/>
          <a:headEnd/>
          <a:tailEnd/>
        </a:ln>
      </xdr:spPr>
    </xdr:sp>
    <xdr:clientData/>
  </xdr:twoCellAnchor>
  <xdr:twoCellAnchor>
    <xdr:from>
      <xdr:col>2</xdr:col>
      <xdr:colOff>63500</xdr:colOff>
      <xdr:row>306</xdr:row>
      <xdr:rowOff>139700</xdr:rowOff>
    </xdr:from>
    <xdr:to>
      <xdr:col>4</xdr:col>
      <xdr:colOff>596900</xdr:colOff>
      <xdr:row>334</xdr:row>
      <xdr:rowOff>63500</xdr:rowOff>
    </xdr:to>
    <xdr:graphicFrame macro="">
      <xdr:nvGraphicFramePr>
        <xdr:cNvPr id="13070637" name="Chart 61">
          <a:extLst>
            <a:ext uri="{FF2B5EF4-FFF2-40B4-BE49-F238E27FC236}">
              <a16:creationId xmlns:a16="http://schemas.microsoft.com/office/drawing/2014/main" id="{3BB925D3-AFBB-44B2-8572-112F3174E9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374650</xdr:colOff>
      <xdr:row>306</xdr:row>
      <xdr:rowOff>139700</xdr:rowOff>
    </xdr:from>
    <xdr:to>
      <xdr:col>16</xdr:col>
      <xdr:colOff>627529</xdr:colOff>
      <xdr:row>334</xdr:row>
      <xdr:rowOff>63500</xdr:rowOff>
    </xdr:to>
    <xdr:graphicFrame macro="">
      <xdr:nvGraphicFramePr>
        <xdr:cNvPr id="13070638" name="Chart 62">
          <a:extLst>
            <a:ext uri="{FF2B5EF4-FFF2-40B4-BE49-F238E27FC236}">
              <a16:creationId xmlns:a16="http://schemas.microsoft.com/office/drawing/2014/main" id="{7E295409-71D7-4B45-B49B-0CFDE0934D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0</xdr:colOff>
      <xdr:row>66</xdr:row>
      <xdr:rowOff>101600</xdr:rowOff>
    </xdr:from>
    <xdr:to>
      <xdr:col>7</xdr:col>
      <xdr:colOff>0</xdr:colOff>
      <xdr:row>97</xdr:row>
      <xdr:rowOff>63500</xdr:rowOff>
    </xdr:to>
    <xdr:graphicFrame macro="">
      <xdr:nvGraphicFramePr>
        <xdr:cNvPr id="13070639" name="Chart 63">
          <a:extLst>
            <a:ext uri="{FF2B5EF4-FFF2-40B4-BE49-F238E27FC236}">
              <a16:creationId xmlns:a16="http://schemas.microsoft.com/office/drawing/2014/main" id="{6B0FC74F-D530-4C27-A3F1-3156C4C6E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127000</xdr:colOff>
      <xdr:row>66</xdr:row>
      <xdr:rowOff>101600</xdr:rowOff>
    </xdr:from>
    <xdr:to>
      <xdr:col>15</xdr:col>
      <xdr:colOff>577850</xdr:colOff>
      <xdr:row>97</xdr:row>
      <xdr:rowOff>63500</xdr:rowOff>
    </xdr:to>
    <xdr:graphicFrame macro="">
      <xdr:nvGraphicFramePr>
        <xdr:cNvPr id="13070640" name="Chart 64">
          <a:extLst>
            <a:ext uri="{FF2B5EF4-FFF2-40B4-BE49-F238E27FC236}">
              <a16:creationId xmlns:a16="http://schemas.microsoft.com/office/drawing/2014/main" id="{CFE70EEE-DAB0-4DCB-9118-DE0980BB3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6350</xdr:colOff>
      <xdr:row>172</xdr:row>
      <xdr:rowOff>82550</xdr:rowOff>
    </xdr:from>
    <xdr:to>
      <xdr:col>7</xdr:col>
      <xdr:colOff>19050</xdr:colOff>
      <xdr:row>202</xdr:row>
      <xdr:rowOff>82550</xdr:rowOff>
    </xdr:to>
    <xdr:graphicFrame macro="">
      <xdr:nvGraphicFramePr>
        <xdr:cNvPr id="13070641" name="Chart 65">
          <a:extLst>
            <a:ext uri="{FF2B5EF4-FFF2-40B4-BE49-F238E27FC236}">
              <a16:creationId xmlns:a16="http://schemas.microsoft.com/office/drawing/2014/main" id="{329D8D77-D8A6-462D-BFA3-D2FAE7CB88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146050</xdr:colOff>
      <xdr:row>172</xdr:row>
      <xdr:rowOff>82550</xdr:rowOff>
    </xdr:from>
    <xdr:to>
      <xdr:col>14</xdr:col>
      <xdr:colOff>622300</xdr:colOff>
      <xdr:row>202</xdr:row>
      <xdr:rowOff>88900</xdr:rowOff>
    </xdr:to>
    <xdr:graphicFrame macro="">
      <xdr:nvGraphicFramePr>
        <xdr:cNvPr id="13070642" name="Chart 66">
          <a:extLst>
            <a:ext uri="{FF2B5EF4-FFF2-40B4-BE49-F238E27FC236}">
              <a16:creationId xmlns:a16="http://schemas.microsoft.com/office/drawing/2014/main" id="{720784D8-F9D8-43F2-A558-36156C004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0</xdr:colOff>
      <xdr:row>651</xdr:row>
      <xdr:rowOff>19050</xdr:rowOff>
    </xdr:from>
    <xdr:to>
      <xdr:col>7</xdr:col>
      <xdr:colOff>0</xdr:colOff>
      <xdr:row>680</xdr:row>
      <xdr:rowOff>44450</xdr:rowOff>
    </xdr:to>
    <xdr:graphicFrame macro="">
      <xdr:nvGraphicFramePr>
        <xdr:cNvPr id="13070643" name="Chart 67">
          <a:extLst>
            <a:ext uri="{FF2B5EF4-FFF2-40B4-BE49-F238E27FC236}">
              <a16:creationId xmlns:a16="http://schemas.microsoft.com/office/drawing/2014/main" id="{1292DF78-0803-4729-890D-B363E54DC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82550</xdr:colOff>
      <xdr:row>651</xdr:row>
      <xdr:rowOff>19050</xdr:rowOff>
    </xdr:from>
    <xdr:to>
      <xdr:col>14</xdr:col>
      <xdr:colOff>685800</xdr:colOff>
      <xdr:row>680</xdr:row>
      <xdr:rowOff>38100</xdr:rowOff>
    </xdr:to>
    <xdr:graphicFrame macro="">
      <xdr:nvGraphicFramePr>
        <xdr:cNvPr id="13070644" name="Chart 68">
          <a:extLst>
            <a:ext uri="{FF2B5EF4-FFF2-40B4-BE49-F238E27FC236}">
              <a16:creationId xmlns:a16="http://schemas.microsoft.com/office/drawing/2014/main" id="{5C40ADFA-9EDD-49A0-A9A0-687F0D756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57150</xdr:colOff>
      <xdr:row>750</xdr:row>
      <xdr:rowOff>139700</xdr:rowOff>
    </xdr:from>
    <xdr:to>
      <xdr:col>7</xdr:col>
      <xdr:colOff>6350</xdr:colOff>
      <xdr:row>777</xdr:row>
      <xdr:rowOff>127000</xdr:rowOff>
    </xdr:to>
    <xdr:graphicFrame macro="">
      <xdr:nvGraphicFramePr>
        <xdr:cNvPr id="13070645" name="Chart 74">
          <a:extLst>
            <a:ext uri="{FF2B5EF4-FFF2-40B4-BE49-F238E27FC236}">
              <a16:creationId xmlns:a16="http://schemas.microsoft.com/office/drawing/2014/main" id="{77D73CDF-8542-4BE0-B5C6-6EB2D5E906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101600</xdr:colOff>
      <xdr:row>750</xdr:row>
      <xdr:rowOff>139700</xdr:rowOff>
    </xdr:from>
    <xdr:to>
      <xdr:col>14</xdr:col>
      <xdr:colOff>215900</xdr:colOff>
      <xdr:row>777</xdr:row>
      <xdr:rowOff>127000</xdr:rowOff>
    </xdr:to>
    <xdr:graphicFrame macro="">
      <xdr:nvGraphicFramePr>
        <xdr:cNvPr id="13070646" name="Chart 75">
          <a:extLst>
            <a:ext uri="{FF2B5EF4-FFF2-40B4-BE49-F238E27FC236}">
              <a16:creationId xmlns:a16="http://schemas.microsoft.com/office/drawing/2014/main" id="{CFACAEEE-2F03-4D1E-87E4-331C692F7F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133350</xdr:colOff>
      <xdr:row>796</xdr:row>
      <xdr:rowOff>0</xdr:rowOff>
    </xdr:from>
    <xdr:to>
      <xdr:col>17</xdr:col>
      <xdr:colOff>484909</xdr:colOff>
      <xdr:row>823</xdr:row>
      <xdr:rowOff>127000</xdr:rowOff>
    </xdr:to>
    <xdr:graphicFrame macro="">
      <xdr:nvGraphicFramePr>
        <xdr:cNvPr id="13070647" name="Chart 78">
          <a:extLst>
            <a:ext uri="{FF2B5EF4-FFF2-40B4-BE49-F238E27FC236}">
              <a16:creationId xmlns:a16="http://schemas.microsoft.com/office/drawing/2014/main" id="{EEDA3A42-DCFA-471D-BC38-7171A2B40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654050</xdr:colOff>
      <xdr:row>306</xdr:row>
      <xdr:rowOff>139700</xdr:rowOff>
    </xdr:from>
    <xdr:to>
      <xdr:col>9</xdr:col>
      <xdr:colOff>273050</xdr:colOff>
      <xdr:row>334</xdr:row>
      <xdr:rowOff>57150</xdr:rowOff>
    </xdr:to>
    <xdr:graphicFrame macro="">
      <xdr:nvGraphicFramePr>
        <xdr:cNvPr id="13070648" name="Chart 61">
          <a:extLst>
            <a:ext uri="{FF2B5EF4-FFF2-40B4-BE49-F238E27FC236}">
              <a16:creationId xmlns:a16="http://schemas.microsoft.com/office/drawing/2014/main" id="{1A2FFAD3-5F50-48DC-BAE5-9500E4AD7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19050</xdr:colOff>
      <xdr:row>307</xdr:row>
      <xdr:rowOff>5230</xdr:rowOff>
    </xdr:from>
    <xdr:to>
      <xdr:col>24</xdr:col>
      <xdr:colOff>106456</xdr:colOff>
      <xdr:row>334</xdr:row>
      <xdr:rowOff>72465</xdr:rowOff>
    </xdr:to>
    <xdr:graphicFrame macro="">
      <xdr:nvGraphicFramePr>
        <xdr:cNvPr id="13070649" name="Chart 62">
          <a:extLst>
            <a:ext uri="{FF2B5EF4-FFF2-40B4-BE49-F238E27FC236}">
              <a16:creationId xmlns:a16="http://schemas.microsoft.com/office/drawing/2014/main" id="{5CA99B8E-308D-4AF2-8AB5-584D75803A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63500</xdr:colOff>
      <xdr:row>437</xdr:row>
      <xdr:rowOff>107950</xdr:rowOff>
    </xdr:from>
    <xdr:to>
      <xdr:col>6</xdr:col>
      <xdr:colOff>971550</xdr:colOff>
      <xdr:row>465</xdr:row>
      <xdr:rowOff>107950</xdr:rowOff>
    </xdr:to>
    <xdr:graphicFrame macro="">
      <xdr:nvGraphicFramePr>
        <xdr:cNvPr id="13070650" name="Chart 56">
          <a:extLst>
            <a:ext uri="{FF2B5EF4-FFF2-40B4-BE49-F238E27FC236}">
              <a16:creationId xmlns:a16="http://schemas.microsoft.com/office/drawing/2014/main" id="{17D04D70-3239-48CC-BE93-24C57619B1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101600</xdr:colOff>
      <xdr:row>437</xdr:row>
      <xdr:rowOff>107950</xdr:rowOff>
    </xdr:from>
    <xdr:to>
      <xdr:col>14</xdr:col>
      <xdr:colOff>641350</xdr:colOff>
      <xdr:row>465</xdr:row>
      <xdr:rowOff>127000</xdr:rowOff>
    </xdr:to>
    <xdr:graphicFrame macro="">
      <xdr:nvGraphicFramePr>
        <xdr:cNvPr id="13070651" name="Chart 57">
          <a:extLst>
            <a:ext uri="{FF2B5EF4-FFF2-40B4-BE49-F238E27FC236}">
              <a16:creationId xmlns:a16="http://schemas.microsoft.com/office/drawing/2014/main" id="{261F30DA-AF78-467A-BF45-FDB61BF9B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0</xdr:colOff>
      <xdr:row>796</xdr:row>
      <xdr:rowOff>0</xdr:rowOff>
    </xdr:from>
    <xdr:to>
      <xdr:col>7</xdr:col>
      <xdr:colOff>44450</xdr:colOff>
      <xdr:row>823</xdr:row>
      <xdr:rowOff>107950</xdr:rowOff>
    </xdr:to>
    <xdr:graphicFrame macro="">
      <xdr:nvGraphicFramePr>
        <xdr:cNvPr id="13070652" name="Chart 45">
          <a:extLst>
            <a:ext uri="{FF2B5EF4-FFF2-40B4-BE49-F238E27FC236}">
              <a16:creationId xmlns:a16="http://schemas.microsoft.com/office/drawing/2014/main" id="{3E2A2EAD-396E-4465-93F9-8F55CCA668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6350</xdr:colOff>
      <xdr:row>573</xdr:row>
      <xdr:rowOff>19050</xdr:rowOff>
    </xdr:from>
    <xdr:to>
      <xdr:col>7</xdr:col>
      <xdr:colOff>0</xdr:colOff>
      <xdr:row>604</xdr:row>
      <xdr:rowOff>76200</xdr:rowOff>
    </xdr:to>
    <xdr:graphicFrame macro="">
      <xdr:nvGraphicFramePr>
        <xdr:cNvPr id="13070653" name="Chart 46">
          <a:extLst>
            <a:ext uri="{FF2B5EF4-FFF2-40B4-BE49-F238E27FC236}">
              <a16:creationId xmlns:a16="http://schemas.microsoft.com/office/drawing/2014/main" id="{E8C7FB07-EB36-4170-A06F-98790C32C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101600</xdr:colOff>
      <xdr:row>573</xdr:row>
      <xdr:rowOff>19050</xdr:rowOff>
    </xdr:from>
    <xdr:to>
      <xdr:col>14</xdr:col>
      <xdr:colOff>679450</xdr:colOff>
      <xdr:row>604</xdr:row>
      <xdr:rowOff>76200</xdr:rowOff>
    </xdr:to>
    <xdr:graphicFrame macro="">
      <xdr:nvGraphicFramePr>
        <xdr:cNvPr id="13070654" name="Chart 47">
          <a:extLst>
            <a:ext uri="{FF2B5EF4-FFF2-40B4-BE49-F238E27FC236}">
              <a16:creationId xmlns:a16="http://schemas.microsoft.com/office/drawing/2014/main" id="{27DB10BC-9083-40D4-A8B0-898A6DA4B2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69851</xdr:colOff>
      <xdr:row>158</xdr:row>
      <xdr:rowOff>67235</xdr:rowOff>
    </xdr:from>
    <xdr:to>
      <xdr:col>16</xdr:col>
      <xdr:colOff>353785</xdr:colOff>
      <xdr:row>169</xdr:row>
      <xdr:rowOff>0</xdr:rowOff>
    </xdr:to>
    <xdr:sp macro="" textlink="">
      <xdr:nvSpPr>
        <xdr:cNvPr id="13070656" name="AutoShape 61">
          <a:extLst>
            <a:ext uri="{FF2B5EF4-FFF2-40B4-BE49-F238E27FC236}">
              <a16:creationId xmlns:a16="http://schemas.microsoft.com/office/drawing/2014/main" id="{E172D67E-1428-4DFD-9DAA-AC3D4EB3591B}"/>
            </a:ext>
          </a:extLst>
        </xdr:cNvPr>
        <xdr:cNvSpPr>
          <a:spLocks noChangeArrowheads="1"/>
        </xdr:cNvSpPr>
      </xdr:nvSpPr>
      <xdr:spPr bwMode="auto">
        <a:xfrm>
          <a:off x="192315" y="23274218"/>
          <a:ext cx="17932399" cy="1620051"/>
        </a:xfrm>
        <a:prstGeom prst="roundRect">
          <a:avLst>
            <a:gd name="adj" fmla="val 16667"/>
          </a:avLst>
        </a:prstGeom>
        <a:noFill/>
        <a:ln w="38100" algn="ctr">
          <a:solidFill>
            <a:schemeClr val="tx1"/>
          </a:solidFill>
          <a:round/>
          <a:headEnd/>
          <a:tailEnd/>
        </a:ln>
      </xdr:spPr>
    </xdr:sp>
    <xdr:clientData/>
  </xdr:twoCellAnchor>
  <xdr:twoCellAnchor>
    <xdr:from>
      <xdr:col>1</xdr:col>
      <xdr:colOff>63500</xdr:colOff>
      <xdr:row>287</xdr:row>
      <xdr:rowOff>6350</xdr:rowOff>
    </xdr:from>
    <xdr:to>
      <xdr:col>16</xdr:col>
      <xdr:colOff>375396</xdr:colOff>
      <xdr:row>303</xdr:row>
      <xdr:rowOff>101600</xdr:rowOff>
    </xdr:to>
    <xdr:sp macro="" textlink="">
      <xdr:nvSpPr>
        <xdr:cNvPr id="13070657" name="AutoShape 68">
          <a:extLst>
            <a:ext uri="{FF2B5EF4-FFF2-40B4-BE49-F238E27FC236}">
              <a16:creationId xmlns:a16="http://schemas.microsoft.com/office/drawing/2014/main" id="{7854578F-0965-4C72-9DF3-C6EAE094ECBC}"/>
            </a:ext>
          </a:extLst>
        </xdr:cNvPr>
        <xdr:cNvSpPr>
          <a:spLocks noChangeArrowheads="1"/>
        </xdr:cNvSpPr>
      </xdr:nvSpPr>
      <xdr:spPr bwMode="auto">
        <a:xfrm>
          <a:off x="186765" y="47508085"/>
          <a:ext cx="17949955" cy="2470897"/>
        </a:xfrm>
        <a:prstGeom prst="roundRect">
          <a:avLst>
            <a:gd name="adj" fmla="val 16667"/>
          </a:avLst>
        </a:prstGeom>
        <a:noFill/>
        <a:ln w="38100" algn="ctr">
          <a:solidFill>
            <a:schemeClr val="accent2">
              <a:lumMod val="50000"/>
            </a:schemeClr>
          </a:solidFill>
          <a:round/>
          <a:headEnd/>
          <a:tailEnd/>
        </a:ln>
      </xdr:spPr>
    </xdr:sp>
    <xdr:clientData/>
  </xdr:twoCellAnchor>
  <xdr:twoCellAnchor>
    <xdr:from>
      <xdr:col>1</xdr:col>
      <xdr:colOff>50425</xdr:colOff>
      <xdr:row>421</xdr:row>
      <xdr:rowOff>101600</xdr:rowOff>
    </xdr:from>
    <xdr:to>
      <xdr:col>17</xdr:col>
      <xdr:colOff>40820</xdr:colOff>
      <xdr:row>434</xdr:row>
      <xdr:rowOff>38100</xdr:rowOff>
    </xdr:to>
    <xdr:sp macro="" textlink="">
      <xdr:nvSpPr>
        <xdr:cNvPr id="13070658" name="AutoShape 78">
          <a:extLst>
            <a:ext uri="{FF2B5EF4-FFF2-40B4-BE49-F238E27FC236}">
              <a16:creationId xmlns:a16="http://schemas.microsoft.com/office/drawing/2014/main" id="{EFD493E8-37C5-4EE6-8E1A-26A9ACBAD7D5}"/>
            </a:ext>
          </a:extLst>
        </xdr:cNvPr>
        <xdr:cNvSpPr>
          <a:spLocks noChangeArrowheads="1"/>
        </xdr:cNvSpPr>
      </xdr:nvSpPr>
      <xdr:spPr bwMode="auto">
        <a:xfrm>
          <a:off x="172889" y="67035136"/>
          <a:ext cx="18346431" cy="1923143"/>
        </a:xfrm>
        <a:prstGeom prst="roundRect">
          <a:avLst>
            <a:gd name="adj" fmla="val 16667"/>
          </a:avLst>
        </a:prstGeom>
        <a:noFill/>
        <a:ln w="38100" algn="ctr">
          <a:solidFill>
            <a:schemeClr val="accent3">
              <a:lumMod val="50000"/>
            </a:schemeClr>
          </a:solidFill>
          <a:round/>
          <a:headEnd/>
          <a:tailEnd/>
        </a:ln>
      </xdr:spPr>
    </xdr:sp>
    <xdr:clientData/>
  </xdr:twoCellAnchor>
  <xdr:twoCellAnchor>
    <xdr:from>
      <xdr:col>1</xdr:col>
      <xdr:colOff>22410</xdr:colOff>
      <xdr:row>639</xdr:row>
      <xdr:rowOff>44823</xdr:rowOff>
    </xdr:from>
    <xdr:to>
      <xdr:col>16</xdr:col>
      <xdr:colOff>257734</xdr:colOff>
      <xdr:row>648</xdr:row>
      <xdr:rowOff>0</xdr:rowOff>
    </xdr:to>
    <xdr:sp macro="" textlink="">
      <xdr:nvSpPr>
        <xdr:cNvPr id="13070659" name="AutoShape 96">
          <a:extLst>
            <a:ext uri="{FF2B5EF4-FFF2-40B4-BE49-F238E27FC236}">
              <a16:creationId xmlns:a16="http://schemas.microsoft.com/office/drawing/2014/main" id="{7E6E533C-EAD4-441A-8DDE-AEE2CDDFB810}"/>
            </a:ext>
          </a:extLst>
        </xdr:cNvPr>
        <xdr:cNvSpPr>
          <a:spLocks noChangeArrowheads="1"/>
        </xdr:cNvSpPr>
      </xdr:nvSpPr>
      <xdr:spPr bwMode="auto">
        <a:xfrm>
          <a:off x="145675" y="100712868"/>
          <a:ext cx="17979839" cy="1182220"/>
        </a:xfrm>
        <a:prstGeom prst="roundRect">
          <a:avLst>
            <a:gd name="adj" fmla="val 16667"/>
          </a:avLst>
        </a:prstGeom>
        <a:noFill/>
        <a:ln w="38100" algn="ctr">
          <a:solidFill>
            <a:schemeClr val="accent5">
              <a:lumMod val="50000"/>
            </a:schemeClr>
          </a:solidFill>
          <a:round/>
          <a:headEnd/>
          <a:tailEnd/>
        </a:ln>
      </xdr:spPr>
    </xdr:sp>
    <xdr:clientData/>
  </xdr:twoCellAnchor>
  <xdr:twoCellAnchor>
    <xdr:from>
      <xdr:col>1</xdr:col>
      <xdr:colOff>82550</xdr:colOff>
      <xdr:row>738</xdr:row>
      <xdr:rowOff>101600</xdr:rowOff>
    </xdr:from>
    <xdr:to>
      <xdr:col>15</xdr:col>
      <xdr:colOff>257736</xdr:colOff>
      <xdr:row>747</xdr:row>
      <xdr:rowOff>139700</xdr:rowOff>
    </xdr:to>
    <xdr:sp macro="" textlink="">
      <xdr:nvSpPr>
        <xdr:cNvPr id="13070660" name="AutoShape 103">
          <a:extLst>
            <a:ext uri="{FF2B5EF4-FFF2-40B4-BE49-F238E27FC236}">
              <a16:creationId xmlns:a16="http://schemas.microsoft.com/office/drawing/2014/main" id="{2CA71AB4-B616-4533-BC67-0CAE1C5E40A5}"/>
            </a:ext>
          </a:extLst>
        </xdr:cNvPr>
        <xdr:cNvSpPr>
          <a:spLocks noChangeArrowheads="1"/>
        </xdr:cNvSpPr>
      </xdr:nvSpPr>
      <xdr:spPr bwMode="auto">
        <a:xfrm>
          <a:off x="205815" y="116889306"/>
          <a:ext cx="16390097" cy="1394012"/>
        </a:xfrm>
        <a:prstGeom prst="roundRect">
          <a:avLst>
            <a:gd name="adj" fmla="val 16667"/>
          </a:avLst>
        </a:prstGeom>
        <a:noFill/>
        <a:ln w="38100" algn="ctr">
          <a:solidFill>
            <a:schemeClr val="accent6">
              <a:lumMod val="50000"/>
            </a:schemeClr>
          </a:solidFill>
          <a:round/>
          <a:headEnd/>
          <a:tailEnd/>
        </a:ln>
      </xdr:spPr>
    </xdr:sp>
    <xdr:clientData/>
  </xdr:twoCellAnchor>
  <xdr:twoCellAnchor>
    <xdr:from>
      <xdr:col>0</xdr:col>
      <xdr:colOff>115661</xdr:colOff>
      <xdr:row>784</xdr:row>
      <xdr:rowOff>68035</xdr:rowOff>
    </xdr:from>
    <xdr:to>
      <xdr:col>16</xdr:col>
      <xdr:colOff>312964</xdr:colOff>
      <xdr:row>796</xdr:row>
      <xdr:rowOff>6802</xdr:rowOff>
    </xdr:to>
    <xdr:sp macro="" textlink="">
      <xdr:nvSpPr>
        <xdr:cNvPr id="28" name="AutoShape 103">
          <a:extLst>
            <a:ext uri="{FF2B5EF4-FFF2-40B4-BE49-F238E27FC236}">
              <a16:creationId xmlns:a16="http://schemas.microsoft.com/office/drawing/2014/main" id="{21913DE4-34D8-4046-A1DE-7AB5ABD92CC5}"/>
            </a:ext>
          </a:extLst>
        </xdr:cNvPr>
        <xdr:cNvSpPr>
          <a:spLocks noChangeArrowheads="1"/>
        </xdr:cNvSpPr>
      </xdr:nvSpPr>
      <xdr:spPr bwMode="auto">
        <a:xfrm>
          <a:off x="115661" y="106414661"/>
          <a:ext cx="17968232" cy="1734910"/>
        </a:xfrm>
        <a:prstGeom prst="roundRect">
          <a:avLst>
            <a:gd name="adj" fmla="val 16667"/>
          </a:avLst>
        </a:prstGeom>
        <a:noFill/>
        <a:ln w="38100" algn="ctr">
          <a:solidFill>
            <a:srgbClr val="F6AB38"/>
          </a:solidFill>
          <a:round/>
          <a:headEnd/>
          <a:tailEnd/>
        </a:ln>
      </xdr:spPr>
    </xdr:sp>
    <xdr:clientData/>
  </xdr:twoCellAnchor>
  <xdr:twoCellAnchor editAs="oneCell">
    <xdr:from>
      <xdr:col>3</xdr:col>
      <xdr:colOff>1137397</xdr:colOff>
      <xdr:row>11</xdr:row>
      <xdr:rowOff>5602</xdr:rowOff>
    </xdr:from>
    <xdr:to>
      <xdr:col>3</xdr:col>
      <xdr:colOff>1502962</xdr:colOff>
      <xdr:row>13</xdr:row>
      <xdr:rowOff>79814</xdr:rowOff>
    </xdr:to>
    <xdr:pic>
      <xdr:nvPicPr>
        <xdr:cNvPr id="6" name="Image 5">
          <a:extLst>
            <a:ext uri="{FF2B5EF4-FFF2-40B4-BE49-F238E27FC236}">
              <a16:creationId xmlns:a16="http://schemas.microsoft.com/office/drawing/2014/main" id="{166388F2-5AA0-465F-8505-76C52663417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a:off x="5355611" y="2454888"/>
          <a:ext cx="365565" cy="373569"/>
        </a:xfrm>
        <a:prstGeom prst="rect">
          <a:avLst/>
        </a:prstGeom>
      </xdr:spPr>
    </xdr:pic>
    <xdr:clientData/>
  </xdr:twoCellAnchor>
  <xdr:twoCellAnchor editAs="oneCell">
    <xdr:from>
      <xdr:col>3</xdr:col>
      <xdr:colOff>1165412</xdr:colOff>
      <xdr:row>25</xdr:row>
      <xdr:rowOff>123264</xdr:rowOff>
    </xdr:from>
    <xdr:to>
      <xdr:col>3</xdr:col>
      <xdr:colOff>1525412</xdr:colOff>
      <xdr:row>28</xdr:row>
      <xdr:rowOff>57665</xdr:rowOff>
    </xdr:to>
    <xdr:pic>
      <xdr:nvPicPr>
        <xdr:cNvPr id="8" name="Image 7">
          <a:extLst>
            <a:ext uri="{FF2B5EF4-FFF2-40B4-BE49-F238E27FC236}">
              <a16:creationId xmlns:a16="http://schemas.microsoft.com/office/drawing/2014/main" id="{F131C9F2-AD8B-4C05-A485-FE162B0D01A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5378824" y="4297456"/>
          <a:ext cx="360000" cy="360000"/>
        </a:xfrm>
        <a:prstGeom prst="rect">
          <a:avLst/>
        </a:prstGeom>
      </xdr:spPr>
    </xdr:pic>
    <xdr:clientData/>
  </xdr:twoCellAnchor>
  <xdr:twoCellAnchor editAs="oneCell">
    <xdr:from>
      <xdr:col>3</xdr:col>
      <xdr:colOff>1159809</xdr:colOff>
      <xdr:row>38</xdr:row>
      <xdr:rowOff>22411</xdr:rowOff>
    </xdr:from>
    <xdr:to>
      <xdr:col>3</xdr:col>
      <xdr:colOff>1504569</xdr:colOff>
      <xdr:row>40</xdr:row>
      <xdr:rowOff>98678</xdr:rowOff>
    </xdr:to>
    <xdr:pic>
      <xdr:nvPicPr>
        <xdr:cNvPr id="10" name="Image 9">
          <a:extLst>
            <a:ext uri="{FF2B5EF4-FFF2-40B4-BE49-F238E27FC236}">
              <a16:creationId xmlns:a16="http://schemas.microsoft.com/office/drawing/2014/main" id="{7ADC7D92-C18F-4DF4-A167-126DE96D4A9B}"/>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5373221" y="5799044"/>
          <a:ext cx="360000" cy="360000"/>
        </a:xfrm>
        <a:prstGeom prst="rect">
          <a:avLst/>
        </a:prstGeom>
      </xdr:spPr>
    </xdr:pic>
    <xdr:clientData/>
  </xdr:twoCellAnchor>
  <xdr:twoCellAnchor editAs="oneCell">
    <xdr:from>
      <xdr:col>3</xdr:col>
      <xdr:colOff>1182220</xdr:colOff>
      <xdr:row>104</xdr:row>
      <xdr:rowOff>56029</xdr:rowOff>
    </xdr:from>
    <xdr:to>
      <xdr:col>4</xdr:col>
      <xdr:colOff>1685</xdr:colOff>
      <xdr:row>106</xdr:row>
      <xdr:rowOff>98678</xdr:rowOff>
    </xdr:to>
    <xdr:pic>
      <xdr:nvPicPr>
        <xdr:cNvPr id="12" name="Image 11">
          <a:extLst>
            <a:ext uri="{FF2B5EF4-FFF2-40B4-BE49-F238E27FC236}">
              <a16:creationId xmlns:a16="http://schemas.microsoft.com/office/drawing/2014/main" id="{52E5F393-1947-405F-B06C-959A64BDD261}"/>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a:off x="5395632" y="15514544"/>
          <a:ext cx="360000" cy="360000"/>
        </a:xfrm>
        <a:prstGeom prst="rect">
          <a:avLst/>
        </a:prstGeom>
      </xdr:spPr>
    </xdr:pic>
    <xdr:clientData/>
  </xdr:twoCellAnchor>
  <xdr:twoCellAnchor editAs="oneCell">
    <xdr:from>
      <xdr:col>3</xdr:col>
      <xdr:colOff>1120588</xdr:colOff>
      <xdr:row>121</xdr:row>
      <xdr:rowOff>224119</xdr:rowOff>
    </xdr:from>
    <xdr:to>
      <xdr:col>3</xdr:col>
      <xdr:colOff>1465348</xdr:colOff>
      <xdr:row>123</xdr:row>
      <xdr:rowOff>57666</xdr:rowOff>
    </xdr:to>
    <xdr:pic>
      <xdr:nvPicPr>
        <xdr:cNvPr id="14" name="Image 13">
          <a:extLst>
            <a:ext uri="{FF2B5EF4-FFF2-40B4-BE49-F238E27FC236}">
              <a16:creationId xmlns:a16="http://schemas.microsoft.com/office/drawing/2014/main" id="{21AA581A-41F5-4829-8141-43865E1CA8B7}"/>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334000" y="17940619"/>
          <a:ext cx="360000" cy="360000"/>
        </a:xfrm>
        <a:prstGeom prst="rect">
          <a:avLst/>
        </a:prstGeom>
      </xdr:spPr>
    </xdr:pic>
    <xdr:clientData/>
  </xdr:twoCellAnchor>
  <xdr:twoCellAnchor editAs="oneCell">
    <xdr:from>
      <xdr:col>3</xdr:col>
      <xdr:colOff>1143000</xdr:colOff>
      <xdr:row>133</xdr:row>
      <xdr:rowOff>235325</xdr:rowOff>
    </xdr:from>
    <xdr:to>
      <xdr:col>3</xdr:col>
      <xdr:colOff>1503000</xdr:colOff>
      <xdr:row>135</xdr:row>
      <xdr:rowOff>96887</xdr:rowOff>
    </xdr:to>
    <xdr:pic>
      <xdr:nvPicPr>
        <xdr:cNvPr id="16" name="Image 15">
          <a:extLst>
            <a:ext uri="{FF2B5EF4-FFF2-40B4-BE49-F238E27FC236}">
              <a16:creationId xmlns:a16="http://schemas.microsoft.com/office/drawing/2014/main" id="{51D303AE-F0A2-429F-9630-DE182B34BD63}"/>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Lst>
        </a:blip>
        <a:stretch>
          <a:fillRect/>
        </a:stretch>
      </xdr:blipFill>
      <xdr:spPr>
        <a:xfrm>
          <a:off x="5356412" y="19834413"/>
          <a:ext cx="360000" cy="360000"/>
        </a:xfrm>
        <a:prstGeom prst="rect">
          <a:avLst/>
        </a:prstGeom>
      </xdr:spPr>
    </xdr:pic>
    <xdr:clientData/>
  </xdr:twoCellAnchor>
  <xdr:twoCellAnchor editAs="oneCell">
    <xdr:from>
      <xdr:col>3</xdr:col>
      <xdr:colOff>1154205</xdr:colOff>
      <xdr:row>144</xdr:row>
      <xdr:rowOff>240926</xdr:rowOff>
    </xdr:from>
    <xdr:to>
      <xdr:col>3</xdr:col>
      <xdr:colOff>1508490</xdr:colOff>
      <xdr:row>146</xdr:row>
      <xdr:rowOff>57666</xdr:rowOff>
    </xdr:to>
    <xdr:pic>
      <xdr:nvPicPr>
        <xdr:cNvPr id="18" name="Image 17">
          <a:extLst>
            <a:ext uri="{FF2B5EF4-FFF2-40B4-BE49-F238E27FC236}">
              <a16:creationId xmlns:a16="http://schemas.microsoft.com/office/drawing/2014/main" id="{998F8AD4-D73D-4B3C-8015-BF3647B9CC6F}"/>
            </a:ext>
          </a:extLst>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tretch>
          <a:fillRect/>
        </a:stretch>
      </xdr:blipFill>
      <xdr:spPr>
        <a:xfrm>
          <a:off x="5367617" y="21380824"/>
          <a:ext cx="360000" cy="360000"/>
        </a:xfrm>
        <a:prstGeom prst="rect">
          <a:avLst/>
        </a:prstGeom>
      </xdr:spPr>
    </xdr:pic>
    <xdr:clientData/>
  </xdr:twoCellAnchor>
  <xdr:twoCellAnchor editAs="oneCell">
    <xdr:from>
      <xdr:col>0</xdr:col>
      <xdr:colOff>44823</xdr:colOff>
      <xdr:row>0</xdr:row>
      <xdr:rowOff>72839</xdr:rowOff>
    </xdr:from>
    <xdr:to>
      <xdr:col>2</xdr:col>
      <xdr:colOff>436571</xdr:colOff>
      <xdr:row>3</xdr:row>
      <xdr:rowOff>168200</xdr:rowOff>
    </xdr:to>
    <xdr:pic>
      <xdr:nvPicPr>
        <xdr:cNvPr id="22" name="Image 21">
          <a:extLst>
            <a:ext uri="{FF2B5EF4-FFF2-40B4-BE49-F238E27FC236}">
              <a16:creationId xmlns:a16="http://schemas.microsoft.com/office/drawing/2014/main" id="{D2A3BEBD-C3C9-463C-A772-A81DE45EDD8B}"/>
            </a:ext>
          </a:extLst>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tretch>
          <a:fillRect/>
        </a:stretch>
      </xdr:blipFill>
      <xdr:spPr>
        <a:xfrm>
          <a:off x="44823" y="72839"/>
          <a:ext cx="672119" cy="666750"/>
        </a:xfrm>
        <a:prstGeom prst="rect">
          <a:avLst/>
        </a:prstGeom>
      </xdr:spPr>
    </xdr:pic>
    <xdr:clientData/>
  </xdr:twoCellAnchor>
  <xdr:twoCellAnchor editAs="oneCell">
    <xdr:from>
      <xdr:col>3</xdr:col>
      <xdr:colOff>1086969</xdr:colOff>
      <xdr:row>221</xdr:row>
      <xdr:rowOff>386604</xdr:rowOff>
    </xdr:from>
    <xdr:to>
      <xdr:col>3</xdr:col>
      <xdr:colOff>1446969</xdr:colOff>
      <xdr:row>223</xdr:row>
      <xdr:rowOff>98345</xdr:rowOff>
    </xdr:to>
    <xdr:pic>
      <xdr:nvPicPr>
        <xdr:cNvPr id="36" name="Image 35">
          <a:extLst>
            <a:ext uri="{FF2B5EF4-FFF2-40B4-BE49-F238E27FC236}">
              <a16:creationId xmlns:a16="http://schemas.microsoft.com/office/drawing/2014/main" id="{FD9026B3-335D-4E46-857C-87724E2DE655}"/>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5300381" y="36200604"/>
          <a:ext cx="360000" cy="360000"/>
        </a:xfrm>
        <a:prstGeom prst="rect">
          <a:avLst/>
        </a:prstGeom>
      </xdr:spPr>
    </xdr:pic>
    <xdr:clientData/>
  </xdr:twoCellAnchor>
  <xdr:twoCellAnchor editAs="oneCell">
    <xdr:from>
      <xdr:col>3</xdr:col>
      <xdr:colOff>1159808</xdr:colOff>
      <xdr:row>208</xdr:row>
      <xdr:rowOff>44823</xdr:rowOff>
    </xdr:from>
    <xdr:to>
      <xdr:col>3</xdr:col>
      <xdr:colOff>1504568</xdr:colOff>
      <xdr:row>210</xdr:row>
      <xdr:rowOff>96661</xdr:rowOff>
    </xdr:to>
    <xdr:pic>
      <xdr:nvPicPr>
        <xdr:cNvPr id="37" name="Image 36">
          <a:extLst>
            <a:ext uri="{FF2B5EF4-FFF2-40B4-BE49-F238E27FC236}">
              <a16:creationId xmlns:a16="http://schemas.microsoft.com/office/drawing/2014/main" id="{B8C7F0C7-F4B8-44B3-BEAB-FA7856385251}"/>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Lst>
        </a:blip>
        <a:stretch>
          <a:fillRect/>
        </a:stretch>
      </xdr:blipFill>
      <xdr:spPr>
        <a:xfrm>
          <a:off x="5373220" y="33763323"/>
          <a:ext cx="360000" cy="360000"/>
        </a:xfrm>
        <a:prstGeom prst="rect">
          <a:avLst/>
        </a:prstGeom>
      </xdr:spPr>
    </xdr:pic>
    <xdr:clientData/>
  </xdr:twoCellAnchor>
  <xdr:twoCellAnchor editAs="oneCell">
    <xdr:from>
      <xdr:col>3</xdr:col>
      <xdr:colOff>1103779</xdr:colOff>
      <xdr:row>238</xdr:row>
      <xdr:rowOff>543486</xdr:rowOff>
    </xdr:from>
    <xdr:to>
      <xdr:col>3</xdr:col>
      <xdr:colOff>1463779</xdr:colOff>
      <xdr:row>240</xdr:row>
      <xdr:rowOff>96886</xdr:rowOff>
    </xdr:to>
    <xdr:pic>
      <xdr:nvPicPr>
        <xdr:cNvPr id="38" name="Image 37">
          <a:extLst>
            <a:ext uri="{FF2B5EF4-FFF2-40B4-BE49-F238E27FC236}">
              <a16:creationId xmlns:a16="http://schemas.microsoft.com/office/drawing/2014/main" id="{D303D5CF-BC08-4639-A0D3-E3AC49B6FF8D}"/>
            </a:ext>
          </a:extLst>
        </xdr:cNvPr>
        <xdr:cNvPicPr>
          <a:picLocks noChangeAspect="1"/>
        </xdr:cNvPicPr>
      </xdr:nvPicPr>
      <xdr:blipFill>
        <a:blip xmlns:r="http://schemas.openxmlformats.org/officeDocument/2006/relationships" r:embed="rId29" cstate="print">
          <a:extLst>
            <a:ext uri="{28A0092B-C50C-407E-A947-70E740481C1C}">
              <a14:useLocalDpi xmlns:a14="http://schemas.microsoft.com/office/drawing/2010/main" val="0"/>
            </a:ext>
          </a:extLst>
        </a:blip>
        <a:stretch>
          <a:fillRect/>
        </a:stretch>
      </xdr:blipFill>
      <xdr:spPr>
        <a:xfrm>
          <a:off x="5317191" y="38946045"/>
          <a:ext cx="360000" cy="360000"/>
        </a:xfrm>
        <a:prstGeom prst="rect">
          <a:avLst/>
        </a:prstGeom>
      </xdr:spPr>
    </xdr:pic>
    <xdr:clientData/>
  </xdr:twoCellAnchor>
  <xdr:twoCellAnchor editAs="oneCell">
    <xdr:from>
      <xdr:col>3</xdr:col>
      <xdr:colOff>1081368</xdr:colOff>
      <xdr:row>251</xdr:row>
      <xdr:rowOff>61632</xdr:rowOff>
    </xdr:from>
    <xdr:to>
      <xdr:col>3</xdr:col>
      <xdr:colOff>1431843</xdr:colOff>
      <xdr:row>253</xdr:row>
      <xdr:rowOff>96662</xdr:rowOff>
    </xdr:to>
    <xdr:pic>
      <xdr:nvPicPr>
        <xdr:cNvPr id="39" name="Image 38">
          <a:extLst>
            <a:ext uri="{FF2B5EF4-FFF2-40B4-BE49-F238E27FC236}">
              <a16:creationId xmlns:a16="http://schemas.microsoft.com/office/drawing/2014/main" id="{7DA95DF3-CA9B-4E82-B556-2D12681597E3}"/>
            </a:ext>
          </a:extLst>
        </xdr:cNvPr>
        <xdr:cNvPicPr>
          <a:picLocks noChangeAspect="1"/>
        </xdr:cNvPicPr>
      </xdr:nvPicPr>
      <xdr:blipFill>
        <a:blip xmlns:r="http://schemas.openxmlformats.org/officeDocument/2006/relationships" r:embed="rId30" cstate="print">
          <a:extLst>
            <a:ext uri="{28A0092B-C50C-407E-A947-70E740481C1C}">
              <a14:useLocalDpi xmlns:a14="http://schemas.microsoft.com/office/drawing/2010/main" val="0"/>
            </a:ext>
          </a:extLst>
        </a:blip>
        <a:stretch>
          <a:fillRect/>
        </a:stretch>
      </xdr:blipFill>
      <xdr:spPr>
        <a:xfrm>
          <a:off x="5294780" y="40744588"/>
          <a:ext cx="360000" cy="360000"/>
        </a:xfrm>
        <a:prstGeom prst="rect">
          <a:avLst/>
        </a:prstGeom>
      </xdr:spPr>
    </xdr:pic>
    <xdr:clientData/>
  </xdr:twoCellAnchor>
  <xdr:twoCellAnchor editAs="oneCell">
    <xdr:from>
      <xdr:col>3</xdr:col>
      <xdr:colOff>1148603</xdr:colOff>
      <xdr:row>271</xdr:row>
      <xdr:rowOff>173691</xdr:rowOff>
    </xdr:from>
    <xdr:to>
      <xdr:col>3</xdr:col>
      <xdr:colOff>1508603</xdr:colOff>
      <xdr:row>273</xdr:row>
      <xdr:rowOff>59458</xdr:rowOff>
    </xdr:to>
    <xdr:pic>
      <xdr:nvPicPr>
        <xdr:cNvPr id="41" name="Image 40">
          <a:extLst>
            <a:ext uri="{FF2B5EF4-FFF2-40B4-BE49-F238E27FC236}">
              <a16:creationId xmlns:a16="http://schemas.microsoft.com/office/drawing/2014/main" id="{AD8C6D36-1EE5-4959-9796-8B0285E0B616}"/>
            </a:ext>
          </a:extLst>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tretch>
          <a:fillRect/>
        </a:stretch>
      </xdr:blipFill>
      <xdr:spPr>
        <a:xfrm>
          <a:off x="5362015" y="43618897"/>
          <a:ext cx="360000" cy="360000"/>
        </a:xfrm>
        <a:prstGeom prst="rect">
          <a:avLst/>
        </a:prstGeom>
      </xdr:spPr>
    </xdr:pic>
    <xdr:clientData/>
  </xdr:twoCellAnchor>
  <xdr:twoCellAnchor editAs="oneCell">
    <xdr:from>
      <xdr:col>3</xdr:col>
      <xdr:colOff>1165412</xdr:colOff>
      <xdr:row>340</xdr:row>
      <xdr:rowOff>56029</xdr:rowOff>
    </xdr:from>
    <xdr:to>
      <xdr:col>3</xdr:col>
      <xdr:colOff>1525412</xdr:colOff>
      <xdr:row>342</xdr:row>
      <xdr:rowOff>91442</xdr:rowOff>
    </xdr:to>
    <xdr:pic>
      <xdr:nvPicPr>
        <xdr:cNvPr id="42" name="Image 41">
          <a:extLst>
            <a:ext uri="{FF2B5EF4-FFF2-40B4-BE49-F238E27FC236}">
              <a16:creationId xmlns:a16="http://schemas.microsoft.com/office/drawing/2014/main" id="{ACDB5CA4-CCB9-466F-813B-8A423FE4DA3E}"/>
            </a:ext>
          </a:extLst>
        </xdr:cNvPr>
        <xdr:cNvPicPr>
          <a:picLocks noChangeAspect="1"/>
        </xdr:cNvPicPr>
      </xdr:nvPicPr>
      <xdr:blipFill>
        <a:blip xmlns:r="http://schemas.openxmlformats.org/officeDocument/2006/relationships" r:embed="rId31" cstate="print">
          <a:extLst>
            <a:ext uri="{28A0092B-C50C-407E-A947-70E740481C1C}">
              <a14:useLocalDpi xmlns:a14="http://schemas.microsoft.com/office/drawing/2010/main" val="0"/>
            </a:ext>
          </a:extLst>
        </a:blip>
        <a:stretch>
          <a:fillRect/>
        </a:stretch>
      </xdr:blipFill>
      <xdr:spPr>
        <a:xfrm>
          <a:off x="5378824" y="53692985"/>
          <a:ext cx="360000" cy="368004"/>
        </a:xfrm>
        <a:prstGeom prst="rect">
          <a:avLst/>
        </a:prstGeom>
      </xdr:spPr>
    </xdr:pic>
    <xdr:clientData/>
  </xdr:twoCellAnchor>
  <xdr:twoCellAnchor editAs="oneCell">
    <xdr:from>
      <xdr:col>3</xdr:col>
      <xdr:colOff>1148602</xdr:colOff>
      <xdr:row>379</xdr:row>
      <xdr:rowOff>209709</xdr:rowOff>
    </xdr:from>
    <xdr:to>
      <xdr:col>3</xdr:col>
      <xdr:colOff>1508602</xdr:colOff>
      <xdr:row>381</xdr:row>
      <xdr:rowOff>92244</xdr:rowOff>
    </xdr:to>
    <xdr:pic>
      <xdr:nvPicPr>
        <xdr:cNvPr id="43" name="Image 42">
          <a:extLst>
            <a:ext uri="{FF2B5EF4-FFF2-40B4-BE49-F238E27FC236}">
              <a16:creationId xmlns:a16="http://schemas.microsoft.com/office/drawing/2014/main" id="{164FC829-86EA-4E93-B262-9D5DA45C5F13}"/>
            </a:ext>
          </a:extLst>
        </xdr:cNvPr>
        <xdr:cNvPicPr>
          <a:picLocks noChangeAspect="1"/>
        </xdr:cNvPicPr>
      </xdr:nvPicPr>
      <xdr:blipFill>
        <a:blip xmlns:r="http://schemas.openxmlformats.org/officeDocument/2006/relationships" r:embed="rId32" cstate="print">
          <a:extLst>
            <a:ext uri="{28A0092B-C50C-407E-A947-70E740481C1C}">
              <a14:useLocalDpi xmlns:a14="http://schemas.microsoft.com/office/drawing/2010/main" val="0"/>
            </a:ext>
          </a:extLst>
        </a:blip>
        <a:stretch>
          <a:fillRect/>
        </a:stretch>
      </xdr:blipFill>
      <xdr:spPr>
        <a:xfrm>
          <a:off x="5362014" y="58911724"/>
          <a:ext cx="360000" cy="372007"/>
        </a:xfrm>
        <a:prstGeom prst="rect">
          <a:avLst/>
        </a:prstGeom>
      </xdr:spPr>
    </xdr:pic>
    <xdr:clientData/>
  </xdr:twoCellAnchor>
  <xdr:twoCellAnchor editAs="oneCell">
    <xdr:from>
      <xdr:col>3</xdr:col>
      <xdr:colOff>1126189</xdr:colOff>
      <xdr:row>368</xdr:row>
      <xdr:rowOff>168890</xdr:rowOff>
    </xdr:from>
    <xdr:to>
      <xdr:col>3</xdr:col>
      <xdr:colOff>1486189</xdr:colOff>
      <xdr:row>370</xdr:row>
      <xdr:rowOff>59042</xdr:rowOff>
    </xdr:to>
    <xdr:pic>
      <xdr:nvPicPr>
        <xdr:cNvPr id="44" name="Image 43">
          <a:extLst>
            <a:ext uri="{FF2B5EF4-FFF2-40B4-BE49-F238E27FC236}">
              <a16:creationId xmlns:a16="http://schemas.microsoft.com/office/drawing/2014/main" id="{AE794E51-A91A-4CB6-B890-2D5627E737B1}"/>
            </a:ext>
          </a:extLst>
        </xdr:cNvPr>
        <xdr:cNvPicPr>
          <a:picLocks noChangeAspect="1"/>
        </xdr:cNvPicPr>
      </xdr:nvPicPr>
      <xdr:blipFill>
        <a:blip xmlns:r="http://schemas.openxmlformats.org/officeDocument/2006/relationships" r:embed="rId33" cstate="print">
          <a:extLst>
            <a:ext uri="{28A0092B-C50C-407E-A947-70E740481C1C}">
              <a14:useLocalDpi xmlns:a14="http://schemas.microsoft.com/office/drawing/2010/main" val="0"/>
            </a:ext>
          </a:extLst>
        </a:blip>
        <a:stretch>
          <a:fillRect/>
        </a:stretch>
      </xdr:blipFill>
      <xdr:spPr>
        <a:xfrm>
          <a:off x="5339601" y="57369317"/>
          <a:ext cx="360000" cy="372005"/>
        </a:xfrm>
        <a:prstGeom prst="rect">
          <a:avLst/>
        </a:prstGeom>
      </xdr:spPr>
    </xdr:pic>
    <xdr:clientData/>
  </xdr:twoCellAnchor>
  <xdr:twoCellAnchor editAs="oneCell">
    <xdr:from>
      <xdr:col>3</xdr:col>
      <xdr:colOff>1148602</xdr:colOff>
      <xdr:row>390</xdr:row>
      <xdr:rowOff>167288</xdr:rowOff>
    </xdr:from>
    <xdr:to>
      <xdr:col>3</xdr:col>
      <xdr:colOff>1508602</xdr:colOff>
      <xdr:row>392</xdr:row>
      <xdr:rowOff>53439</xdr:rowOff>
    </xdr:to>
    <xdr:pic>
      <xdr:nvPicPr>
        <xdr:cNvPr id="45" name="Image 44">
          <a:extLst>
            <a:ext uri="{FF2B5EF4-FFF2-40B4-BE49-F238E27FC236}">
              <a16:creationId xmlns:a16="http://schemas.microsoft.com/office/drawing/2014/main" id="{639FA1DE-4305-4423-B629-5BE7C28D52FE}"/>
            </a:ext>
          </a:extLst>
        </xdr:cNvPr>
        <xdr:cNvPicPr>
          <a:picLocks noChangeAspect="1"/>
        </xdr:cNvPicPr>
      </xdr:nvPicPr>
      <xdr:blipFill>
        <a:blip xmlns:r="http://schemas.openxmlformats.org/officeDocument/2006/relationships" r:embed="rId34" cstate="print">
          <a:extLst>
            <a:ext uri="{28A0092B-C50C-407E-A947-70E740481C1C}">
              <a14:useLocalDpi xmlns:a14="http://schemas.microsoft.com/office/drawing/2010/main" val="0"/>
            </a:ext>
          </a:extLst>
        </a:blip>
        <a:stretch>
          <a:fillRect/>
        </a:stretch>
      </xdr:blipFill>
      <xdr:spPr>
        <a:xfrm>
          <a:off x="5362014" y="60387700"/>
          <a:ext cx="360000" cy="368004"/>
        </a:xfrm>
        <a:prstGeom prst="rect">
          <a:avLst/>
        </a:prstGeom>
      </xdr:spPr>
    </xdr:pic>
    <xdr:clientData/>
  </xdr:twoCellAnchor>
  <xdr:twoCellAnchor editAs="oneCell">
    <xdr:from>
      <xdr:col>3</xdr:col>
      <xdr:colOff>1148602</xdr:colOff>
      <xdr:row>357</xdr:row>
      <xdr:rowOff>133672</xdr:rowOff>
    </xdr:from>
    <xdr:to>
      <xdr:col>3</xdr:col>
      <xdr:colOff>1508602</xdr:colOff>
      <xdr:row>359</xdr:row>
      <xdr:rowOff>53553</xdr:rowOff>
    </xdr:to>
    <xdr:pic>
      <xdr:nvPicPr>
        <xdr:cNvPr id="46" name="Image 45">
          <a:extLst>
            <a:ext uri="{FF2B5EF4-FFF2-40B4-BE49-F238E27FC236}">
              <a16:creationId xmlns:a16="http://schemas.microsoft.com/office/drawing/2014/main" id="{1965E9C1-4289-4ECD-A8B4-6D1C2CC89597}"/>
            </a:ext>
          </a:extLst>
        </xdr:cNvPr>
        <xdr:cNvPicPr>
          <a:picLocks noChangeAspect="1"/>
        </xdr:cNvPicPr>
      </xdr:nvPicPr>
      <xdr:blipFill>
        <a:blip xmlns:r="http://schemas.openxmlformats.org/officeDocument/2006/relationships" r:embed="rId35" cstate="print">
          <a:extLst>
            <a:ext uri="{28A0092B-C50C-407E-A947-70E740481C1C}">
              <a14:useLocalDpi xmlns:a14="http://schemas.microsoft.com/office/drawing/2010/main" val="0"/>
            </a:ext>
          </a:extLst>
        </a:blip>
        <a:stretch>
          <a:fillRect/>
        </a:stretch>
      </xdr:blipFill>
      <xdr:spPr>
        <a:xfrm>
          <a:off x="5362014" y="56006201"/>
          <a:ext cx="360000" cy="368004"/>
        </a:xfrm>
        <a:prstGeom prst="rect">
          <a:avLst/>
        </a:prstGeom>
      </xdr:spPr>
    </xdr:pic>
    <xdr:clientData/>
  </xdr:twoCellAnchor>
  <xdr:twoCellAnchor editAs="oneCell">
    <xdr:from>
      <xdr:col>3</xdr:col>
      <xdr:colOff>1182220</xdr:colOff>
      <xdr:row>403</xdr:row>
      <xdr:rowOff>100854</xdr:rowOff>
    </xdr:from>
    <xdr:to>
      <xdr:col>4</xdr:col>
      <xdr:colOff>1685</xdr:colOff>
      <xdr:row>404</xdr:row>
      <xdr:rowOff>113472</xdr:rowOff>
    </xdr:to>
    <xdr:pic>
      <xdr:nvPicPr>
        <xdr:cNvPr id="3" name="Image 2">
          <a:extLst>
            <a:ext uri="{FF2B5EF4-FFF2-40B4-BE49-F238E27FC236}">
              <a16:creationId xmlns:a16="http://schemas.microsoft.com/office/drawing/2014/main" id="{5600FCDC-DEAB-4D6C-8264-773C58E281DF}"/>
            </a:ext>
          </a:extLst>
        </xdr:cNvPr>
        <xdr:cNvPicPr>
          <a:picLocks noChangeAspect="1"/>
        </xdr:cNvPicPr>
      </xdr:nvPicPr>
      <xdr:blipFill>
        <a:blip xmlns:r="http://schemas.openxmlformats.org/officeDocument/2006/relationships" r:embed="rId36" cstate="print">
          <a:extLst>
            <a:ext uri="{28A0092B-C50C-407E-A947-70E740481C1C}">
              <a14:useLocalDpi xmlns:a14="http://schemas.microsoft.com/office/drawing/2010/main" val="0"/>
            </a:ext>
          </a:extLst>
        </a:blip>
        <a:stretch>
          <a:fillRect/>
        </a:stretch>
      </xdr:blipFill>
      <xdr:spPr>
        <a:xfrm>
          <a:off x="5395632" y="62131016"/>
          <a:ext cx="360000" cy="360000"/>
        </a:xfrm>
        <a:prstGeom prst="rect">
          <a:avLst/>
        </a:prstGeom>
      </xdr:spPr>
    </xdr:pic>
    <xdr:clientData/>
  </xdr:twoCellAnchor>
  <xdr:twoCellAnchor editAs="oneCell">
    <xdr:from>
      <xdr:col>3</xdr:col>
      <xdr:colOff>1030941</xdr:colOff>
      <xdr:row>471</xdr:row>
      <xdr:rowOff>218514</xdr:rowOff>
    </xdr:from>
    <xdr:to>
      <xdr:col>3</xdr:col>
      <xdr:colOff>1390941</xdr:colOff>
      <xdr:row>473</xdr:row>
      <xdr:rowOff>76648</xdr:rowOff>
    </xdr:to>
    <xdr:pic>
      <xdr:nvPicPr>
        <xdr:cNvPr id="49" name="Image 48">
          <a:extLst>
            <a:ext uri="{FF2B5EF4-FFF2-40B4-BE49-F238E27FC236}">
              <a16:creationId xmlns:a16="http://schemas.microsoft.com/office/drawing/2014/main" id="{9E731B56-7E95-4D7F-83EC-F640719BD7D9}"/>
            </a:ext>
          </a:extLst>
        </xdr:cNvPr>
        <xdr:cNvPicPr>
          <a:picLocks noChangeAspect="1"/>
        </xdr:cNvPicPr>
      </xdr:nvPicPr>
      <xdr:blipFill>
        <a:blip xmlns:r="http://schemas.openxmlformats.org/officeDocument/2006/relationships" r:embed="rId37" cstate="print">
          <a:extLst>
            <a:ext uri="{28A0092B-C50C-407E-A947-70E740481C1C}">
              <a14:useLocalDpi xmlns:a14="http://schemas.microsoft.com/office/drawing/2010/main" val="0"/>
            </a:ext>
          </a:extLst>
        </a:blip>
        <a:stretch>
          <a:fillRect/>
        </a:stretch>
      </xdr:blipFill>
      <xdr:spPr>
        <a:xfrm>
          <a:off x="5244353" y="71684029"/>
          <a:ext cx="360000" cy="368004"/>
        </a:xfrm>
        <a:prstGeom prst="rect">
          <a:avLst/>
        </a:prstGeom>
      </xdr:spPr>
    </xdr:pic>
    <xdr:clientData/>
  </xdr:twoCellAnchor>
  <xdr:twoCellAnchor editAs="oneCell">
    <xdr:from>
      <xdr:col>3</xdr:col>
      <xdr:colOff>1176217</xdr:colOff>
      <xdr:row>490</xdr:row>
      <xdr:rowOff>88046</xdr:rowOff>
    </xdr:from>
    <xdr:to>
      <xdr:col>3</xdr:col>
      <xdr:colOff>1543837</xdr:colOff>
      <xdr:row>492</xdr:row>
      <xdr:rowOff>58673</xdr:rowOff>
    </xdr:to>
    <xdr:pic>
      <xdr:nvPicPr>
        <xdr:cNvPr id="50" name="Image 49">
          <a:extLst>
            <a:ext uri="{FF2B5EF4-FFF2-40B4-BE49-F238E27FC236}">
              <a16:creationId xmlns:a16="http://schemas.microsoft.com/office/drawing/2014/main" id="{DCD4C8DC-1E4E-465B-BCD5-70FCE2E606BE}"/>
            </a:ext>
          </a:extLst>
        </xdr:cNvPr>
        <xdr:cNvPicPr>
          <a:picLocks noChangeAspect="1"/>
        </xdr:cNvPicPr>
      </xdr:nvPicPr>
      <xdr:blipFill>
        <a:blip xmlns:r="http://schemas.openxmlformats.org/officeDocument/2006/relationships" r:embed="rId38" cstate="print">
          <a:extLst>
            <a:ext uri="{28A0092B-C50C-407E-A947-70E740481C1C}">
              <a14:useLocalDpi xmlns:a14="http://schemas.microsoft.com/office/drawing/2010/main" val="0"/>
            </a:ext>
          </a:extLst>
        </a:blip>
        <a:stretch>
          <a:fillRect/>
        </a:stretch>
      </xdr:blipFill>
      <xdr:spPr>
        <a:xfrm>
          <a:off x="5394431" y="79533350"/>
          <a:ext cx="360000" cy="384012"/>
        </a:xfrm>
        <a:prstGeom prst="rect">
          <a:avLst/>
        </a:prstGeom>
      </xdr:spPr>
    </xdr:pic>
    <xdr:clientData/>
  </xdr:twoCellAnchor>
  <xdr:twoCellAnchor editAs="oneCell">
    <xdr:from>
      <xdr:col>3</xdr:col>
      <xdr:colOff>1136117</xdr:colOff>
      <xdr:row>542</xdr:row>
      <xdr:rowOff>173212</xdr:rowOff>
    </xdr:from>
    <xdr:to>
      <xdr:col>3</xdr:col>
      <xdr:colOff>1501832</xdr:colOff>
      <xdr:row>544</xdr:row>
      <xdr:rowOff>93093</xdr:rowOff>
    </xdr:to>
    <xdr:pic>
      <xdr:nvPicPr>
        <xdr:cNvPr id="51" name="Image 50">
          <a:extLst>
            <a:ext uri="{FF2B5EF4-FFF2-40B4-BE49-F238E27FC236}">
              <a16:creationId xmlns:a16="http://schemas.microsoft.com/office/drawing/2014/main" id="{882ED628-B05E-4A18-AB9B-C41BF820D705}"/>
            </a:ext>
          </a:extLst>
        </xdr:cNvPr>
        <xdr:cNvPicPr>
          <a:picLocks noChangeAspect="1"/>
        </xdr:cNvPicPr>
      </xdr:nvPicPr>
      <xdr:blipFill>
        <a:blip xmlns:r="http://schemas.openxmlformats.org/officeDocument/2006/relationships" r:embed="rId39" cstate="print">
          <a:extLst>
            <a:ext uri="{28A0092B-C50C-407E-A947-70E740481C1C}">
              <a14:useLocalDpi xmlns:a14="http://schemas.microsoft.com/office/drawing/2010/main" val="0"/>
            </a:ext>
          </a:extLst>
        </a:blip>
        <a:stretch>
          <a:fillRect/>
        </a:stretch>
      </xdr:blipFill>
      <xdr:spPr>
        <a:xfrm>
          <a:off x="5349529" y="78423888"/>
          <a:ext cx="360000" cy="368004"/>
        </a:xfrm>
        <a:prstGeom prst="rect">
          <a:avLst/>
        </a:prstGeom>
      </xdr:spPr>
    </xdr:pic>
    <xdr:clientData/>
  </xdr:twoCellAnchor>
  <xdr:twoCellAnchor editAs="oneCell">
    <xdr:from>
      <xdr:col>3</xdr:col>
      <xdr:colOff>1199029</xdr:colOff>
      <xdr:row>523</xdr:row>
      <xdr:rowOff>128868</xdr:rowOff>
    </xdr:from>
    <xdr:to>
      <xdr:col>3</xdr:col>
      <xdr:colOff>1543789</xdr:colOff>
      <xdr:row>525</xdr:row>
      <xdr:rowOff>40631</xdr:rowOff>
    </xdr:to>
    <xdr:pic>
      <xdr:nvPicPr>
        <xdr:cNvPr id="52" name="Image 51">
          <a:extLst>
            <a:ext uri="{FF2B5EF4-FFF2-40B4-BE49-F238E27FC236}">
              <a16:creationId xmlns:a16="http://schemas.microsoft.com/office/drawing/2014/main" id="{A9192D88-E9F0-4DE8-A4BC-0EF137CBDFD9}"/>
            </a:ext>
          </a:extLst>
        </xdr:cNvPr>
        <xdr:cNvPicPr>
          <a:picLocks noChangeAspect="1"/>
        </xdr:cNvPicPr>
      </xdr:nvPicPr>
      <xdr:blipFill>
        <a:blip xmlns:r="http://schemas.openxmlformats.org/officeDocument/2006/relationships" r:embed="rId40" cstate="print">
          <a:extLst>
            <a:ext uri="{28A0092B-C50C-407E-A947-70E740481C1C}">
              <a14:useLocalDpi xmlns:a14="http://schemas.microsoft.com/office/drawing/2010/main" val="0"/>
            </a:ext>
          </a:extLst>
        </a:blip>
        <a:stretch>
          <a:fillRect/>
        </a:stretch>
      </xdr:blipFill>
      <xdr:spPr>
        <a:xfrm>
          <a:off x="5412441" y="76911574"/>
          <a:ext cx="360000" cy="360000"/>
        </a:xfrm>
        <a:prstGeom prst="rect">
          <a:avLst/>
        </a:prstGeom>
      </xdr:spPr>
    </xdr:pic>
    <xdr:clientData/>
  </xdr:twoCellAnchor>
  <xdr:twoCellAnchor editAs="oneCell">
    <xdr:from>
      <xdr:col>3</xdr:col>
      <xdr:colOff>1171015</xdr:colOff>
      <xdr:row>610</xdr:row>
      <xdr:rowOff>123263</xdr:rowOff>
    </xdr:from>
    <xdr:to>
      <xdr:col>4</xdr:col>
      <xdr:colOff>5</xdr:colOff>
      <xdr:row>612</xdr:row>
      <xdr:rowOff>58461</xdr:rowOff>
    </xdr:to>
    <xdr:pic>
      <xdr:nvPicPr>
        <xdr:cNvPr id="53" name="Image 52">
          <a:extLst>
            <a:ext uri="{FF2B5EF4-FFF2-40B4-BE49-F238E27FC236}">
              <a16:creationId xmlns:a16="http://schemas.microsoft.com/office/drawing/2014/main" id="{68DBBA55-AFE0-47B3-938E-3864937BB4AD}"/>
            </a:ext>
          </a:extLst>
        </xdr:cNvPr>
        <xdr:cNvPicPr>
          <a:picLocks noChangeAspect="1"/>
        </xdr:cNvPicPr>
      </xdr:nvPicPr>
      <xdr:blipFill>
        <a:blip xmlns:r="http://schemas.openxmlformats.org/officeDocument/2006/relationships" r:embed="rId41" cstate="print">
          <a:extLst>
            <a:ext uri="{28A0092B-C50C-407E-A947-70E740481C1C}">
              <a14:useLocalDpi xmlns:a14="http://schemas.microsoft.com/office/drawing/2010/main" val="0"/>
            </a:ext>
          </a:extLst>
        </a:blip>
        <a:stretch>
          <a:fillRect/>
        </a:stretch>
      </xdr:blipFill>
      <xdr:spPr>
        <a:xfrm>
          <a:off x="5384427" y="97429543"/>
          <a:ext cx="360000" cy="372003"/>
        </a:xfrm>
        <a:prstGeom prst="rect">
          <a:avLst/>
        </a:prstGeom>
      </xdr:spPr>
    </xdr:pic>
    <xdr:clientData/>
  </xdr:twoCellAnchor>
  <xdr:twoCellAnchor editAs="oneCell">
    <xdr:from>
      <xdr:col>3</xdr:col>
      <xdr:colOff>1054155</xdr:colOff>
      <xdr:row>687</xdr:row>
      <xdr:rowOff>123265</xdr:rowOff>
    </xdr:from>
    <xdr:to>
      <xdr:col>3</xdr:col>
      <xdr:colOff>1429395</xdr:colOff>
      <xdr:row>688</xdr:row>
      <xdr:rowOff>95029</xdr:rowOff>
    </xdr:to>
    <xdr:pic>
      <xdr:nvPicPr>
        <xdr:cNvPr id="54" name="Image 53">
          <a:extLst>
            <a:ext uri="{FF2B5EF4-FFF2-40B4-BE49-F238E27FC236}">
              <a16:creationId xmlns:a16="http://schemas.microsoft.com/office/drawing/2014/main" id="{302BC5A9-F489-44BC-AC83-9857B05B0A86}"/>
            </a:ext>
          </a:extLst>
        </xdr:cNvPr>
        <xdr:cNvPicPr>
          <a:picLocks noChangeAspect="1"/>
        </xdr:cNvPicPr>
      </xdr:nvPicPr>
      <xdr:blipFill>
        <a:blip xmlns:r="http://schemas.openxmlformats.org/officeDocument/2006/relationships" r:embed="rId42" cstate="print">
          <a:extLst>
            <a:ext uri="{28A0092B-C50C-407E-A947-70E740481C1C}">
              <a14:useLocalDpi xmlns:a14="http://schemas.microsoft.com/office/drawing/2010/main" val="0"/>
            </a:ext>
          </a:extLst>
        </a:blip>
        <a:stretch>
          <a:fillRect/>
        </a:stretch>
      </xdr:blipFill>
      <xdr:spPr>
        <a:xfrm>
          <a:off x="5267567" y="108456133"/>
          <a:ext cx="360000" cy="368004"/>
        </a:xfrm>
        <a:prstGeom prst="rect">
          <a:avLst/>
        </a:prstGeom>
      </xdr:spPr>
    </xdr:pic>
    <xdr:clientData/>
  </xdr:twoCellAnchor>
  <xdr:twoCellAnchor editAs="oneCell">
    <xdr:from>
      <xdr:col>3</xdr:col>
      <xdr:colOff>1098176</xdr:colOff>
      <xdr:row>706</xdr:row>
      <xdr:rowOff>98854</xdr:rowOff>
    </xdr:from>
    <xdr:to>
      <xdr:col>3</xdr:col>
      <xdr:colOff>1463891</xdr:colOff>
      <xdr:row>707</xdr:row>
      <xdr:rowOff>130681</xdr:rowOff>
    </xdr:to>
    <xdr:pic>
      <xdr:nvPicPr>
        <xdr:cNvPr id="55" name="Image 54">
          <a:extLst>
            <a:ext uri="{FF2B5EF4-FFF2-40B4-BE49-F238E27FC236}">
              <a16:creationId xmlns:a16="http://schemas.microsoft.com/office/drawing/2014/main" id="{EA0E619E-E3D7-48DD-AB72-1B6413A7CB57}"/>
            </a:ext>
          </a:extLst>
        </xdr:cNvPr>
        <xdr:cNvPicPr>
          <a:picLocks noChangeAspect="1"/>
        </xdr:cNvPicPr>
      </xdr:nvPicPr>
      <xdr:blipFill>
        <a:blip xmlns:r="http://schemas.openxmlformats.org/officeDocument/2006/relationships" r:embed="rId43" cstate="print">
          <a:extLst>
            <a:ext uri="{28A0092B-C50C-407E-A947-70E740481C1C}">
              <a14:useLocalDpi xmlns:a14="http://schemas.microsoft.com/office/drawing/2010/main" val="0"/>
            </a:ext>
          </a:extLst>
        </a:blip>
        <a:stretch>
          <a:fillRect/>
        </a:stretch>
      </xdr:blipFill>
      <xdr:spPr>
        <a:xfrm>
          <a:off x="5311588" y="111799089"/>
          <a:ext cx="360000" cy="368004"/>
        </a:xfrm>
        <a:prstGeom prst="rect">
          <a:avLst/>
        </a:prstGeom>
      </xdr:spPr>
    </xdr:pic>
    <xdr:clientData/>
  </xdr:twoCellAnchor>
  <xdr:twoCellAnchor editAs="oneCell">
    <xdr:from>
      <xdr:col>3</xdr:col>
      <xdr:colOff>1042148</xdr:colOff>
      <xdr:row>723</xdr:row>
      <xdr:rowOff>84045</xdr:rowOff>
    </xdr:from>
    <xdr:to>
      <xdr:col>3</xdr:col>
      <xdr:colOff>1392623</xdr:colOff>
      <xdr:row>724</xdr:row>
      <xdr:rowOff>130393</xdr:rowOff>
    </xdr:to>
    <xdr:pic>
      <xdr:nvPicPr>
        <xdr:cNvPr id="5" name="Image 4">
          <a:extLst>
            <a:ext uri="{FF2B5EF4-FFF2-40B4-BE49-F238E27FC236}">
              <a16:creationId xmlns:a16="http://schemas.microsoft.com/office/drawing/2014/main" id="{3C349954-3AE3-4836-9BBC-64540FD39597}"/>
            </a:ext>
          </a:extLst>
        </xdr:cNvPr>
        <xdr:cNvPicPr>
          <a:picLocks noChangeAspect="1"/>
        </xdr:cNvPicPr>
      </xdr:nvPicPr>
      <xdr:blipFill>
        <a:blip xmlns:r="http://schemas.openxmlformats.org/officeDocument/2006/relationships" r:embed="rId44" cstate="print">
          <a:extLst>
            <a:ext uri="{28A0092B-C50C-407E-A947-70E740481C1C}">
              <a14:useLocalDpi xmlns:a14="http://schemas.microsoft.com/office/drawing/2010/main" val="0"/>
            </a:ext>
          </a:extLst>
        </a:blip>
        <a:stretch>
          <a:fillRect/>
        </a:stretch>
      </xdr:blipFill>
      <xdr:spPr>
        <a:xfrm>
          <a:off x="5255560" y="114748237"/>
          <a:ext cx="360000" cy="360000"/>
        </a:xfrm>
        <a:prstGeom prst="rect">
          <a:avLst/>
        </a:prstGeom>
      </xdr:spPr>
    </xdr:pic>
    <xdr:clientData/>
  </xdr:twoCellAnchor>
  <xdr:twoCellAnchor editAs="oneCell">
    <xdr:from>
      <xdr:col>3</xdr:col>
      <xdr:colOff>1148603</xdr:colOff>
      <xdr:row>629</xdr:row>
      <xdr:rowOff>5603</xdr:rowOff>
    </xdr:from>
    <xdr:to>
      <xdr:col>3</xdr:col>
      <xdr:colOff>1508603</xdr:colOff>
      <xdr:row>631</xdr:row>
      <xdr:rowOff>74250</xdr:rowOff>
    </xdr:to>
    <xdr:pic>
      <xdr:nvPicPr>
        <xdr:cNvPr id="4" name="Image 3">
          <a:extLst>
            <a:ext uri="{FF2B5EF4-FFF2-40B4-BE49-F238E27FC236}">
              <a16:creationId xmlns:a16="http://schemas.microsoft.com/office/drawing/2014/main" id="{DBAFA99F-A06B-4E13-AE16-3C3D5248C653}"/>
            </a:ext>
          </a:extLst>
        </xdr:cNvPr>
        <xdr:cNvPicPr>
          <a:picLocks noChangeAspect="1"/>
        </xdr:cNvPicPr>
      </xdr:nvPicPr>
      <xdr:blipFill>
        <a:blip xmlns:r="http://schemas.openxmlformats.org/officeDocument/2006/relationships" r:embed="rId45" cstate="print">
          <a:extLst>
            <a:ext uri="{28A0092B-C50C-407E-A947-70E740481C1C}">
              <a14:useLocalDpi xmlns:a14="http://schemas.microsoft.com/office/drawing/2010/main" val="0"/>
            </a:ext>
          </a:extLst>
        </a:blip>
        <a:stretch>
          <a:fillRect/>
        </a:stretch>
      </xdr:blipFill>
      <xdr:spPr>
        <a:xfrm>
          <a:off x="5362015" y="100236618"/>
          <a:ext cx="360000" cy="360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5</xdr:col>
      <xdr:colOff>6350</xdr:colOff>
      <xdr:row>5</xdr:row>
      <xdr:rowOff>76200</xdr:rowOff>
    </xdr:from>
    <xdr:to>
      <xdr:col>5</xdr:col>
      <xdr:colOff>698500</xdr:colOff>
      <xdr:row>7</xdr:row>
      <xdr:rowOff>63500</xdr:rowOff>
    </xdr:to>
    <xdr:sp macro="" textlink="">
      <xdr:nvSpPr>
        <xdr:cNvPr id="10048254" name="Line 3">
          <a:extLst>
            <a:ext uri="{FF2B5EF4-FFF2-40B4-BE49-F238E27FC236}">
              <a16:creationId xmlns:a16="http://schemas.microsoft.com/office/drawing/2014/main" id="{E6B30264-60EF-4CD6-ADEC-49DEC6511531}"/>
            </a:ext>
          </a:extLst>
        </xdr:cNvPr>
        <xdr:cNvSpPr>
          <a:spLocks noChangeShapeType="1"/>
        </xdr:cNvSpPr>
      </xdr:nvSpPr>
      <xdr:spPr bwMode="auto">
        <a:xfrm>
          <a:off x="4121150" y="812800"/>
          <a:ext cx="692150" cy="2794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8</xdr:row>
      <xdr:rowOff>69850</xdr:rowOff>
    </xdr:from>
    <xdr:to>
      <xdr:col>5</xdr:col>
      <xdr:colOff>698500</xdr:colOff>
      <xdr:row>10</xdr:row>
      <xdr:rowOff>152400</xdr:rowOff>
    </xdr:to>
    <xdr:sp macro="" textlink="">
      <xdr:nvSpPr>
        <xdr:cNvPr id="10048255" name="Line 4">
          <a:extLst>
            <a:ext uri="{FF2B5EF4-FFF2-40B4-BE49-F238E27FC236}">
              <a16:creationId xmlns:a16="http://schemas.microsoft.com/office/drawing/2014/main" id="{4D83CB66-5E7A-4F5C-8289-7E2A074F4695}"/>
            </a:ext>
          </a:extLst>
        </xdr:cNvPr>
        <xdr:cNvSpPr>
          <a:spLocks noChangeShapeType="1"/>
        </xdr:cNvSpPr>
      </xdr:nvSpPr>
      <xdr:spPr bwMode="auto">
        <a:xfrm flipV="1">
          <a:off x="4114800" y="1244600"/>
          <a:ext cx="698500" cy="387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9</xdr:row>
      <xdr:rowOff>69850</xdr:rowOff>
    </xdr:from>
    <xdr:to>
      <xdr:col>5</xdr:col>
      <xdr:colOff>698500</xdr:colOff>
      <xdr:row>16</xdr:row>
      <xdr:rowOff>76200</xdr:rowOff>
    </xdr:to>
    <xdr:sp macro="" textlink="">
      <xdr:nvSpPr>
        <xdr:cNvPr id="10048256" name="Line 5">
          <a:extLst>
            <a:ext uri="{FF2B5EF4-FFF2-40B4-BE49-F238E27FC236}">
              <a16:creationId xmlns:a16="http://schemas.microsoft.com/office/drawing/2014/main" id="{33E3E2CD-9127-46F1-88D9-8FEC1D3E5D72}"/>
            </a:ext>
          </a:extLst>
        </xdr:cNvPr>
        <xdr:cNvSpPr>
          <a:spLocks noChangeShapeType="1"/>
        </xdr:cNvSpPr>
      </xdr:nvSpPr>
      <xdr:spPr bwMode="auto">
        <a:xfrm flipV="1">
          <a:off x="4114800" y="1397000"/>
          <a:ext cx="698500" cy="10731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10</xdr:row>
      <xdr:rowOff>152400</xdr:rowOff>
    </xdr:from>
    <xdr:to>
      <xdr:col>5</xdr:col>
      <xdr:colOff>698500</xdr:colOff>
      <xdr:row>22</xdr:row>
      <xdr:rowOff>76200</xdr:rowOff>
    </xdr:to>
    <xdr:sp macro="" textlink="">
      <xdr:nvSpPr>
        <xdr:cNvPr id="10048257" name="Line 6">
          <a:extLst>
            <a:ext uri="{FF2B5EF4-FFF2-40B4-BE49-F238E27FC236}">
              <a16:creationId xmlns:a16="http://schemas.microsoft.com/office/drawing/2014/main" id="{60D6EC33-DE60-4D13-8EF2-8ED5A6C9DE16}"/>
            </a:ext>
          </a:extLst>
        </xdr:cNvPr>
        <xdr:cNvSpPr>
          <a:spLocks noChangeShapeType="1"/>
        </xdr:cNvSpPr>
      </xdr:nvSpPr>
      <xdr:spPr bwMode="auto">
        <a:xfrm flipV="1">
          <a:off x="4114800" y="1631950"/>
          <a:ext cx="698500" cy="17272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6350</xdr:colOff>
      <xdr:row>11</xdr:row>
      <xdr:rowOff>76200</xdr:rowOff>
    </xdr:from>
    <xdr:to>
      <xdr:col>5</xdr:col>
      <xdr:colOff>685800</xdr:colOff>
      <xdr:row>30</xdr:row>
      <xdr:rowOff>76200</xdr:rowOff>
    </xdr:to>
    <xdr:sp macro="" textlink="">
      <xdr:nvSpPr>
        <xdr:cNvPr id="10048258" name="Line 7">
          <a:extLst>
            <a:ext uri="{FF2B5EF4-FFF2-40B4-BE49-F238E27FC236}">
              <a16:creationId xmlns:a16="http://schemas.microsoft.com/office/drawing/2014/main" id="{2990EB05-0465-4BC3-AF46-0FF75E2632F2}"/>
            </a:ext>
          </a:extLst>
        </xdr:cNvPr>
        <xdr:cNvSpPr>
          <a:spLocks noChangeShapeType="1"/>
        </xdr:cNvSpPr>
      </xdr:nvSpPr>
      <xdr:spPr bwMode="auto">
        <a:xfrm flipV="1">
          <a:off x="4121150" y="1708150"/>
          <a:ext cx="679450" cy="28321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6350</xdr:colOff>
      <xdr:row>12</xdr:row>
      <xdr:rowOff>57150</xdr:rowOff>
    </xdr:from>
    <xdr:to>
      <xdr:col>6</xdr:col>
      <xdr:colOff>0</xdr:colOff>
      <xdr:row>35</xdr:row>
      <xdr:rowOff>63500</xdr:rowOff>
    </xdr:to>
    <xdr:sp macro="" textlink="">
      <xdr:nvSpPr>
        <xdr:cNvPr id="10048259" name="Line 8">
          <a:extLst>
            <a:ext uri="{FF2B5EF4-FFF2-40B4-BE49-F238E27FC236}">
              <a16:creationId xmlns:a16="http://schemas.microsoft.com/office/drawing/2014/main" id="{47BB62F5-A022-44F3-95FB-F51E9B91AB44}"/>
            </a:ext>
          </a:extLst>
        </xdr:cNvPr>
        <xdr:cNvSpPr>
          <a:spLocks noChangeShapeType="1"/>
        </xdr:cNvSpPr>
      </xdr:nvSpPr>
      <xdr:spPr bwMode="auto">
        <a:xfrm flipV="1">
          <a:off x="4121150" y="1835150"/>
          <a:ext cx="698500" cy="34353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0</xdr:colOff>
      <xdr:row>13</xdr:row>
      <xdr:rowOff>76200</xdr:rowOff>
    </xdr:from>
    <xdr:to>
      <xdr:col>5</xdr:col>
      <xdr:colOff>698500</xdr:colOff>
      <xdr:row>39</xdr:row>
      <xdr:rowOff>76200</xdr:rowOff>
    </xdr:to>
    <xdr:sp macro="" textlink="">
      <xdr:nvSpPr>
        <xdr:cNvPr id="10048260" name="Line 9">
          <a:extLst>
            <a:ext uri="{FF2B5EF4-FFF2-40B4-BE49-F238E27FC236}">
              <a16:creationId xmlns:a16="http://schemas.microsoft.com/office/drawing/2014/main" id="{411EB3D4-9214-414C-8802-7E260329F547}"/>
            </a:ext>
          </a:extLst>
        </xdr:cNvPr>
        <xdr:cNvSpPr>
          <a:spLocks noChangeShapeType="1"/>
        </xdr:cNvSpPr>
      </xdr:nvSpPr>
      <xdr:spPr bwMode="auto">
        <a:xfrm flipV="1">
          <a:off x="4114800" y="2000250"/>
          <a:ext cx="698500" cy="38798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38099</xdr:colOff>
      <xdr:row>16</xdr:row>
      <xdr:rowOff>19051</xdr:rowOff>
    </xdr:from>
    <xdr:to>
      <xdr:col>15</xdr:col>
      <xdr:colOff>692150</xdr:colOff>
      <xdr:row>41</xdr:row>
      <xdr:rowOff>0</xdr:rowOff>
    </xdr:to>
    <xdr:graphicFrame macro="">
      <xdr:nvGraphicFramePr>
        <xdr:cNvPr id="10048261" name="Chart 92">
          <a:extLst>
            <a:ext uri="{FF2B5EF4-FFF2-40B4-BE49-F238E27FC236}">
              <a16:creationId xmlns:a16="http://schemas.microsoft.com/office/drawing/2014/main" id="{70BD393D-86E4-433B-9238-AD10783443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38101</xdr:colOff>
      <xdr:row>42</xdr:row>
      <xdr:rowOff>57151</xdr:rowOff>
    </xdr:from>
    <xdr:to>
      <xdr:col>15</xdr:col>
      <xdr:colOff>690563</xdr:colOff>
      <xdr:row>66</xdr:row>
      <xdr:rowOff>109089</xdr:rowOff>
    </xdr:to>
    <xdr:graphicFrame macro="">
      <xdr:nvGraphicFramePr>
        <xdr:cNvPr id="10048262" name="Chart 94">
          <a:extLst>
            <a:ext uri="{FF2B5EF4-FFF2-40B4-BE49-F238E27FC236}">
              <a16:creationId xmlns:a16="http://schemas.microsoft.com/office/drawing/2014/main" id="{511C8DEA-40E5-437E-84DD-CDD8ECE0BA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61914</xdr:colOff>
      <xdr:row>0</xdr:row>
      <xdr:rowOff>23812</xdr:rowOff>
    </xdr:from>
    <xdr:to>
      <xdr:col>1</xdr:col>
      <xdr:colOff>56805</xdr:colOff>
      <xdr:row>2</xdr:row>
      <xdr:rowOff>175259</xdr:rowOff>
    </xdr:to>
    <xdr:pic>
      <xdr:nvPicPr>
        <xdr:cNvPr id="12" name="Image 11">
          <a:extLst>
            <a:ext uri="{FF2B5EF4-FFF2-40B4-BE49-F238E27FC236}">
              <a16:creationId xmlns:a16="http://schemas.microsoft.com/office/drawing/2014/main" id="{EC978147-B80D-49E9-9B66-8C1F4AFCACF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1914" y="23812"/>
          <a:ext cx="672119" cy="666750"/>
        </a:xfrm>
        <a:prstGeom prst="rect">
          <a:avLst/>
        </a:prstGeom>
      </xdr:spPr>
    </xdr:pic>
    <xdr:clientData/>
  </xdr:twoCellAnchor>
  <xdr:twoCellAnchor editAs="oneCell">
    <xdr:from>
      <xdr:col>0</xdr:col>
      <xdr:colOff>221876</xdr:colOff>
      <xdr:row>5</xdr:row>
      <xdr:rowOff>114300</xdr:rowOff>
    </xdr:from>
    <xdr:to>
      <xdr:col>0</xdr:col>
      <xdr:colOff>591251</xdr:colOff>
      <xdr:row>8</xdr:row>
      <xdr:rowOff>30285</xdr:rowOff>
    </xdr:to>
    <xdr:pic>
      <xdr:nvPicPr>
        <xdr:cNvPr id="13" name="Image 12">
          <a:extLst>
            <a:ext uri="{FF2B5EF4-FFF2-40B4-BE49-F238E27FC236}">
              <a16:creationId xmlns:a16="http://schemas.microsoft.com/office/drawing/2014/main" id="{56705FAD-6C5F-494F-9E07-AED3F6E2AFE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21876" y="1219200"/>
          <a:ext cx="365565" cy="365565"/>
        </a:xfrm>
        <a:prstGeom prst="rect">
          <a:avLst/>
        </a:prstGeom>
      </xdr:spPr>
    </xdr:pic>
    <xdr:clientData/>
  </xdr:twoCellAnchor>
  <xdr:twoCellAnchor editAs="oneCell">
    <xdr:from>
      <xdr:col>0</xdr:col>
      <xdr:colOff>200024</xdr:colOff>
      <xdr:row>11</xdr:row>
      <xdr:rowOff>63312</xdr:rowOff>
    </xdr:from>
    <xdr:to>
      <xdr:col>0</xdr:col>
      <xdr:colOff>556214</xdr:colOff>
      <xdr:row>13</xdr:row>
      <xdr:rowOff>131849</xdr:rowOff>
    </xdr:to>
    <xdr:pic>
      <xdr:nvPicPr>
        <xdr:cNvPr id="14" name="Image 13">
          <a:extLst>
            <a:ext uri="{FF2B5EF4-FFF2-40B4-BE49-F238E27FC236}">
              <a16:creationId xmlns:a16="http://schemas.microsoft.com/office/drawing/2014/main" id="{5BF05A29-3984-4393-8A19-0DB7E5A75AA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00024" y="2073087"/>
          <a:ext cx="360000" cy="360002"/>
        </a:xfrm>
        <a:prstGeom prst="rect">
          <a:avLst/>
        </a:prstGeom>
      </xdr:spPr>
    </xdr:pic>
    <xdr:clientData/>
  </xdr:twoCellAnchor>
  <xdr:twoCellAnchor editAs="oneCell">
    <xdr:from>
      <xdr:col>0</xdr:col>
      <xdr:colOff>180975</xdr:colOff>
      <xdr:row>17</xdr:row>
      <xdr:rowOff>63033</xdr:rowOff>
    </xdr:from>
    <xdr:to>
      <xdr:col>0</xdr:col>
      <xdr:colOff>542880</xdr:colOff>
      <xdr:row>19</xdr:row>
      <xdr:rowOff>124902</xdr:rowOff>
    </xdr:to>
    <xdr:pic>
      <xdr:nvPicPr>
        <xdr:cNvPr id="15" name="Image 14">
          <a:extLst>
            <a:ext uri="{FF2B5EF4-FFF2-40B4-BE49-F238E27FC236}">
              <a16:creationId xmlns:a16="http://schemas.microsoft.com/office/drawing/2014/main" id="{C21AE2F4-CCD8-4AB3-9C01-A5373FAC4FB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80975" y="2987208"/>
          <a:ext cx="360000" cy="355239"/>
        </a:xfrm>
        <a:prstGeom prst="rect">
          <a:avLst/>
        </a:prstGeom>
      </xdr:spPr>
    </xdr:pic>
    <xdr:clientData/>
  </xdr:twoCellAnchor>
  <xdr:twoCellAnchor editAs="oneCell">
    <xdr:from>
      <xdr:col>0</xdr:col>
      <xdr:colOff>221876</xdr:colOff>
      <xdr:row>23</xdr:row>
      <xdr:rowOff>132507</xdr:rowOff>
    </xdr:from>
    <xdr:to>
      <xdr:col>0</xdr:col>
      <xdr:colOff>583781</xdr:colOff>
      <xdr:row>26</xdr:row>
      <xdr:rowOff>60072</xdr:rowOff>
    </xdr:to>
    <xdr:pic>
      <xdr:nvPicPr>
        <xdr:cNvPr id="16" name="Image 15">
          <a:extLst>
            <a:ext uri="{FF2B5EF4-FFF2-40B4-BE49-F238E27FC236}">
              <a16:creationId xmlns:a16="http://schemas.microsoft.com/office/drawing/2014/main" id="{7F3CF219-C51B-4991-BE99-BDD1564FE31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21876" y="3952032"/>
          <a:ext cx="360000" cy="374288"/>
        </a:xfrm>
        <a:prstGeom prst="rect">
          <a:avLst/>
        </a:prstGeom>
      </xdr:spPr>
    </xdr:pic>
    <xdr:clientData/>
  </xdr:twoCellAnchor>
  <xdr:twoCellAnchor editAs="oneCell">
    <xdr:from>
      <xdr:col>0</xdr:col>
      <xdr:colOff>199384</xdr:colOff>
      <xdr:row>30</xdr:row>
      <xdr:rowOff>76880</xdr:rowOff>
    </xdr:from>
    <xdr:to>
      <xdr:col>0</xdr:col>
      <xdr:colOff>555574</xdr:colOff>
      <xdr:row>33</xdr:row>
      <xdr:rowOff>1589</xdr:rowOff>
    </xdr:to>
    <xdr:pic>
      <xdr:nvPicPr>
        <xdr:cNvPr id="17" name="Image 16">
          <a:extLst>
            <a:ext uri="{FF2B5EF4-FFF2-40B4-BE49-F238E27FC236}">
              <a16:creationId xmlns:a16="http://schemas.microsoft.com/office/drawing/2014/main" id="{C0E28EDE-F368-4FA5-B68A-DE7000A37BF6}"/>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9384" y="4939393"/>
          <a:ext cx="360000" cy="364764"/>
        </a:xfrm>
        <a:prstGeom prst="rect">
          <a:avLst/>
        </a:prstGeom>
      </xdr:spPr>
    </xdr:pic>
    <xdr:clientData/>
  </xdr:twoCellAnchor>
  <xdr:twoCellAnchor editAs="oneCell">
    <xdr:from>
      <xdr:col>0</xdr:col>
      <xdr:colOff>185737</xdr:colOff>
      <xdr:row>34</xdr:row>
      <xdr:rowOff>96093</xdr:rowOff>
    </xdr:from>
    <xdr:to>
      <xdr:col>0</xdr:col>
      <xdr:colOff>549547</xdr:colOff>
      <xdr:row>37</xdr:row>
      <xdr:rowOff>16989</xdr:rowOff>
    </xdr:to>
    <xdr:pic>
      <xdr:nvPicPr>
        <xdr:cNvPr id="18" name="Image 17">
          <a:extLst>
            <a:ext uri="{FF2B5EF4-FFF2-40B4-BE49-F238E27FC236}">
              <a16:creationId xmlns:a16="http://schemas.microsoft.com/office/drawing/2014/main" id="{1480841D-0A93-45B9-A494-B00080B86D3C}"/>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85737" y="5553918"/>
          <a:ext cx="360000" cy="364761"/>
        </a:xfrm>
        <a:prstGeom prst="rect">
          <a:avLst/>
        </a:prstGeom>
      </xdr:spPr>
    </xdr:pic>
    <xdr:clientData/>
  </xdr:twoCellAnchor>
  <xdr:twoCellAnchor editAs="oneCell">
    <xdr:from>
      <xdr:col>0</xdr:col>
      <xdr:colOff>211870</xdr:colOff>
      <xdr:row>39</xdr:row>
      <xdr:rowOff>97490</xdr:rowOff>
    </xdr:from>
    <xdr:to>
      <xdr:col>0</xdr:col>
      <xdr:colOff>571870</xdr:colOff>
      <xdr:row>42</xdr:row>
      <xdr:rowOff>20292</xdr:rowOff>
    </xdr:to>
    <xdr:pic>
      <xdr:nvPicPr>
        <xdr:cNvPr id="19" name="Image 18">
          <a:extLst>
            <a:ext uri="{FF2B5EF4-FFF2-40B4-BE49-F238E27FC236}">
              <a16:creationId xmlns:a16="http://schemas.microsoft.com/office/drawing/2014/main" id="{3DD271A3-4496-49E5-AEC2-0A4DEA66DD7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11870" y="6307790"/>
          <a:ext cx="360000" cy="36952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158750</xdr:colOff>
      <xdr:row>2</xdr:row>
      <xdr:rowOff>38100</xdr:rowOff>
    </xdr:from>
    <xdr:to>
      <xdr:col>10</xdr:col>
      <xdr:colOff>38100</xdr:colOff>
      <xdr:row>2</xdr:row>
      <xdr:rowOff>38100</xdr:rowOff>
    </xdr:to>
    <xdr:sp macro="" textlink="">
      <xdr:nvSpPr>
        <xdr:cNvPr id="66726" name="Line 71">
          <a:extLst>
            <a:ext uri="{FF2B5EF4-FFF2-40B4-BE49-F238E27FC236}">
              <a16:creationId xmlns:a16="http://schemas.microsoft.com/office/drawing/2014/main" id="{24F0FC89-0935-4382-995C-54725562746B}"/>
            </a:ext>
          </a:extLst>
        </xdr:cNvPr>
        <xdr:cNvSpPr>
          <a:spLocks noChangeShapeType="1"/>
        </xdr:cNvSpPr>
      </xdr:nvSpPr>
      <xdr:spPr bwMode="auto">
        <a:xfrm>
          <a:off x="158750" y="485775"/>
          <a:ext cx="10880725"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387350</xdr:colOff>
      <xdr:row>26</xdr:row>
      <xdr:rowOff>38100</xdr:rowOff>
    </xdr:from>
    <xdr:to>
      <xdr:col>10</xdr:col>
      <xdr:colOff>38100</xdr:colOff>
      <xdr:row>26</xdr:row>
      <xdr:rowOff>38100</xdr:rowOff>
    </xdr:to>
    <xdr:sp macro="" textlink="">
      <xdr:nvSpPr>
        <xdr:cNvPr id="3" name="Line 71">
          <a:extLst>
            <a:ext uri="{FF2B5EF4-FFF2-40B4-BE49-F238E27FC236}">
              <a16:creationId xmlns:a16="http://schemas.microsoft.com/office/drawing/2014/main" id="{B2B8D52E-1F5D-418C-A43E-13666E360407}"/>
            </a:ext>
          </a:extLst>
        </xdr:cNvPr>
        <xdr:cNvSpPr>
          <a:spLocks noChangeShapeType="1"/>
        </xdr:cNvSpPr>
      </xdr:nvSpPr>
      <xdr:spPr bwMode="auto">
        <a:xfrm>
          <a:off x="368300" y="485775"/>
          <a:ext cx="9023350" cy="0"/>
        </a:xfrm>
        <a:prstGeom prst="line">
          <a:avLst/>
        </a:prstGeom>
        <a:noFill/>
        <a:ln w="381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19050</xdr:colOff>
      <xdr:row>43</xdr:row>
      <xdr:rowOff>1</xdr:rowOff>
    </xdr:from>
    <xdr:to>
      <xdr:col>6</xdr:col>
      <xdr:colOff>161925</xdr:colOff>
      <xdr:row>48</xdr:row>
      <xdr:rowOff>99060</xdr:rowOff>
    </xdr:to>
    <xdr:sp macro="" textlink="">
      <xdr:nvSpPr>
        <xdr:cNvPr id="4" name="ZoneTexte 3">
          <a:extLst>
            <a:ext uri="{FF2B5EF4-FFF2-40B4-BE49-F238E27FC236}">
              <a16:creationId xmlns:a16="http://schemas.microsoft.com/office/drawing/2014/main" id="{CDDC4CD5-5D24-4883-A21E-E773818D4D68}"/>
            </a:ext>
          </a:extLst>
        </xdr:cNvPr>
        <xdr:cNvSpPr txBox="1"/>
      </xdr:nvSpPr>
      <xdr:spPr>
        <a:xfrm>
          <a:off x="163830" y="6606541"/>
          <a:ext cx="6505575" cy="8229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A partir de 2020, tous les fluides frigorigènes ayant</a:t>
          </a:r>
          <a:r>
            <a:rPr lang="fr-FR" sz="1100" baseline="0"/>
            <a:t> un facteur d'émission </a:t>
          </a:r>
          <a:r>
            <a:rPr lang="fr-FR" sz="1100" b="1" baseline="0"/>
            <a:t>supérieur à 2500 kg.eq.CO2</a:t>
          </a:r>
          <a:r>
            <a:rPr lang="fr-FR" sz="1100" baseline="0"/>
            <a:t> ont été interdit à la vente en Europe.</a:t>
          </a:r>
        </a:p>
        <a:p>
          <a:endParaRPr lang="fr-FR" sz="1100" baseline="0"/>
        </a:p>
        <a:p>
          <a:r>
            <a:rPr lang="fr-FR" sz="1100" baseline="0"/>
            <a:t>Source : réglementation F-gas</a:t>
          </a:r>
        </a:p>
        <a:p>
          <a:endParaRPr lang="fr-FR" sz="1100" baseline="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deme.intra\Angers$\DOCUME~1\ADMINP~1\LOCALS~1\Temp\_PA267\historique%20tableur\BC280508.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eme.intra\Angers$\SERVICES\DAE\gourdont\Bilan%20Carbone%20-%20SP\LOGICIELS\V5\V5-DEF\BC_patrimoine_services_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igiplace-my.sharepoint.com/DOCUME~1/GUEUSS~1/LOCALS~1/Temp/notes2EE0ED/BC%20Campus%20version%20provisoir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istration"/>
      <sheetName val="Enseignement"/>
      <sheetName val="Elèves"/>
      <sheetName val="Stages"/>
      <sheetName val="Vie culturelle"/>
      <sheetName val="Restauration"/>
      <sheetName val="Sport"/>
      <sheetName val="Espaces verts,Entretien"/>
      <sheetName val="ordre de grandeur recherche"/>
      <sheetName val="Recherche"/>
      <sheetName val="Service XXX"/>
      <sheetName val="Service YYY"/>
      <sheetName val="Récap"/>
      <sheetName val="plan action"/>
      <sheetName val="Extractions"/>
      <sheetName val="Facteurs d'émiss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452">
          <cell r="A452" t="str">
            <v>Train en France, moyenne</v>
          </cell>
        </row>
        <row r="453">
          <cell r="A453" t="str">
            <v>TGV</v>
          </cell>
        </row>
        <row r="454">
          <cell r="A454" t="str">
            <v>Corail …</v>
          </cell>
        </row>
        <row r="455">
          <cell r="A455" t="str">
            <v>TER</v>
          </cell>
        </row>
        <row r="456">
          <cell r="A456" t="str">
            <v>RER, métro</v>
          </cell>
        </row>
        <row r="457">
          <cell r="A457" t="str">
            <v>Autre train</v>
          </cell>
        </row>
        <row r="458">
          <cell r="A458" t="str">
            <v>Train en Allemagne</v>
          </cell>
        </row>
        <row r="459">
          <cell r="A459" t="str">
            <v>Train en Autriche</v>
          </cell>
        </row>
        <row r="460">
          <cell r="A460" t="str">
            <v>Train en Belgique</v>
          </cell>
        </row>
        <row r="461">
          <cell r="A461" t="str">
            <v>Train au Danemark</v>
          </cell>
        </row>
        <row r="462">
          <cell r="A462" t="str">
            <v>Train en Espagne</v>
          </cell>
        </row>
        <row r="463">
          <cell r="A463" t="str">
            <v>Train en Finlande</v>
          </cell>
        </row>
        <row r="464">
          <cell r="A464" t="str">
            <v>Train en Grèce</v>
          </cell>
        </row>
        <row r="465">
          <cell r="A465" t="str">
            <v>Train en Irlande</v>
          </cell>
        </row>
        <row r="466">
          <cell r="A466" t="str">
            <v>Train en Italie</v>
          </cell>
        </row>
        <row r="467">
          <cell r="A467" t="str">
            <v>Train au Luxembourg</v>
          </cell>
        </row>
        <row r="468">
          <cell r="A468" t="str">
            <v>Train en Norvège</v>
          </cell>
        </row>
        <row r="469">
          <cell r="A469" t="str">
            <v>Train aux Pays bas</v>
          </cell>
        </row>
        <row r="470">
          <cell r="A470" t="str">
            <v>Train au Portugal</v>
          </cell>
        </row>
        <row r="471">
          <cell r="A471" t="str">
            <v>Train au Royaume Uni</v>
          </cell>
        </row>
        <row r="472">
          <cell r="A472" t="str">
            <v>Train en Suède</v>
          </cell>
        </row>
        <row r="473">
          <cell r="A473" t="str">
            <v>Train en Suisse</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ministration générale"/>
      <sheetName val="Enseignement"/>
      <sheetName val="logements"/>
      <sheetName val="Transports collectifs"/>
      <sheetName val="Eau et assainissement"/>
      <sheetName val="dechets"/>
      <sheetName val="Equipements sportifs"/>
      <sheetName val="Equipements culturels"/>
      <sheetName val="Sanitaire et social"/>
      <sheetName val="Espaces verts"/>
      <sheetName val="Voirie"/>
      <sheetName val="Service XXX"/>
      <sheetName val="service YYY"/>
      <sheetName val="Récap"/>
      <sheetName val="plan action"/>
      <sheetName val="Extractions"/>
      <sheetName val="Facteurs d'émiss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637">
          <cell r="A637" t="str">
            <v>Blé, par tonne de matière sèche</v>
          </cell>
        </row>
        <row r="638">
          <cell r="A638" t="str">
            <v>Fourrages, par tonne de matières sèches</v>
          </cell>
        </row>
        <row r="639">
          <cell r="A639" t="str">
            <v>Ensilage</v>
          </cell>
        </row>
        <row r="640">
          <cell r="A640" t="str">
            <v>Farine</v>
          </cell>
        </row>
        <row r="641">
          <cell r="A641" t="str">
            <v>Pain</v>
          </cell>
        </row>
        <row r="642">
          <cell r="A642" t="str">
            <v>Maïs alimentaire</v>
          </cell>
        </row>
        <row r="643">
          <cell r="A643" t="str">
            <v>huile de tournesol</v>
          </cell>
        </row>
        <row r="644">
          <cell r="A644" t="str">
            <v>poisson (moyenne)</v>
          </cell>
        </row>
        <row r="645">
          <cell r="A645" t="str">
            <v>Thon et autres poissons tropicaux</v>
          </cell>
        </row>
        <row r="646">
          <cell r="A646" t="str">
            <v>Crevettes pêchées</v>
          </cell>
        </row>
        <row r="647">
          <cell r="A647" t="str">
            <v>Agneau/Mouton</v>
          </cell>
        </row>
        <row r="648">
          <cell r="A648" t="str">
            <v>Cochon</v>
          </cell>
        </row>
        <row r="649">
          <cell r="A649" t="str">
            <v>Bœuf</v>
          </cell>
        </row>
        <row r="650">
          <cell r="A650" t="str">
            <v>Veau</v>
          </cell>
        </row>
        <row r="651">
          <cell r="A651" t="str">
            <v>Lait de vache</v>
          </cell>
        </row>
        <row r="652">
          <cell r="A652" t="str">
            <v>Lait en poudre</v>
          </cell>
        </row>
        <row r="653">
          <cell r="A653" t="str">
            <v>Beurre</v>
          </cell>
        </row>
        <row r="654">
          <cell r="A654" t="str">
            <v>Fromage pâte crue</v>
          </cell>
        </row>
        <row r="655">
          <cell r="A655" t="str">
            <v>Fromage pâte cuite</v>
          </cell>
        </row>
        <row r="656">
          <cell r="A656" t="str">
            <v>Yaourts</v>
          </cell>
        </row>
        <row r="657">
          <cell r="A657" t="str">
            <v>Poulet industriel</v>
          </cell>
        </row>
        <row r="658">
          <cell r="A658" t="str">
            <v>Poulet fermier</v>
          </cell>
        </row>
        <row r="659">
          <cell r="A659" t="str">
            <v>Dinde industrielle</v>
          </cell>
        </row>
        <row r="660">
          <cell r="A660" t="str">
            <v>Dinde fermière</v>
          </cell>
        </row>
        <row r="661">
          <cell r="A661" t="str">
            <v>Canard</v>
          </cell>
        </row>
        <row r="662">
          <cell r="A662" t="str">
            <v>œufs</v>
          </cell>
        </row>
        <row r="663">
          <cell r="A663" t="str">
            <v>Sucre</v>
          </cell>
        </row>
        <row r="664">
          <cell r="A664" t="str">
            <v>Alcool</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mpus"/>
      <sheetName val="Feuil1"/>
      <sheetName val="Plan d'actions"/>
      <sheetName val="Facteurs d'émission"/>
      <sheetName val="Administration"/>
      <sheetName val="Enseignement"/>
      <sheetName val="Elèves"/>
      <sheetName val="Stages"/>
      <sheetName val="Vie culturelle"/>
      <sheetName val="Restauration"/>
      <sheetName val="Sport"/>
      <sheetName val="Espaces verts,Entretien"/>
      <sheetName val="Recherche"/>
      <sheetName val="Service XXX"/>
      <sheetName val="Service YYY"/>
      <sheetName val="Récap"/>
    </sheetNames>
    <sheetDataSet>
      <sheetData sheetId="0" refreshError="1"/>
      <sheetData sheetId="1" refreshError="1"/>
      <sheetData sheetId="2" refreshError="1"/>
      <sheetData sheetId="3" refreshError="1">
        <row r="578">
          <cell r="A578" t="str">
            <v>Béton bitumineux</v>
          </cell>
        </row>
        <row r="579">
          <cell r="A579" t="str">
            <v>Grave bitume 3</v>
          </cell>
        </row>
        <row r="580">
          <cell r="A580" t="str">
            <v>Enrobé à module élevé</v>
          </cell>
        </row>
        <row r="581">
          <cell r="A581" t="str">
            <v>Enrobé tiède</v>
          </cell>
        </row>
        <row r="582">
          <cell r="A582" t="str">
            <v>Grave émulsion</v>
          </cell>
        </row>
        <row r="583">
          <cell r="A583" t="str">
            <v>Béton bitumineux à froid</v>
          </cell>
        </row>
        <row r="584">
          <cell r="A584" t="str">
            <v>Grave ciment</v>
          </cell>
        </row>
        <row r="585">
          <cell r="A585" t="str">
            <v>Grave ciment préfissurée</v>
          </cell>
        </row>
        <row r="586">
          <cell r="A586" t="str">
            <v>Grave liant hydraulique</v>
          </cell>
        </row>
        <row r="587">
          <cell r="A587" t="str">
            <v>Grave liant routier préfissurée</v>
          </cell>
        </row>
        <row r="588">
          <cell r="A588" t="str">
            <v>Béton de ciment (routier)</v>
          </cell>
        </row>
        <row r="589">
          <cell r="A589" t="str">
            <v>Béton armé continu (routier)</v>
          </cell>
        </row>
        <row r="590">
          <cell r="A590" t="str">
            <v>Grave non traitée</v>
          </cell>
        </row>
        <row r="591">
          <cell r="A591" t="str">
            <v>Sol traité liant routier</v>
          </cell>
        </row>
        <row r="592">
          <cell r="A592" t="str">
            <v>Recyclage en place à chaud (REC)</v>
          </cell>
        </row>
        <row r="593">
          <cell r="A593" t="str">
            <v>Béton bitumineux avec 10% REC</v>
          </cell>
        </row>
        <row r="594">
          <cell r="A594" t="str">
            <v>Béton bitumineux avec 20% REC</v>
          </cell>
        </row>
        <row r="595">
          <cell r="A595" t="str">
            <v>Béton bitumineux avec 30% REC</v>
          </cell>
        </row>
        <row r="596">
          <cell r="A596" t="str">
            <v>Béton bitumineux avec 50% REC</v>
          </cell>
        </row>
        <row r="597">
          <cell r="A597" t="str">
            <v>Recyclage en place à l'émulsion</v>
          </cell>
        </row>
        <row r="598">
          <cell r="A598" t="str">
            <v>Ciment</v>
          </cell>
        </row>
        <row r="599">
          <cell r="A599" t="str">
            <v>Pierres de carrière</v>
          </cell>
        </row>
        <row r="600">
          <cell r="A600" t="str">
            <v>Béton armé</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creativecommons.org/licenses/by/4.0/"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base-empreinte.ademe.fr/"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499984740745262"/>
  </sheetPr>
  <dimension ref="B1:O21"/>
  <sheetViews>
    <sheetView showGridLines="0" zoomScale="110" workbookViewId="0">
      <selection activeCell="P2" sqref="P2"/>
    </sheetView>
  </sheetViews>
  <sheetFormatPr baseColWidth="10" defaultRowHeight="11.4"/>
  <cols>
    <col min="1" max="1" width="2.125" customWidth="1"/>
    <col min="2" max="2" width="2.75" customWidth="1"/>
    <col min="3" max="3" width="10.875" customWidth="1"/>
    <col min="4" max="8" width="11" customWidth="1"/>
    <col min="14" max="14" width="3.375" customWidth="1"/>
    <col min="15" max="15" width="2.375" customWidth="1"/>
  </cols>
  <sheetData>
    <row r="1" spans="2:15" ht="31.5" customHeight="1">
      <c r="B1" s="161"/>
      <c r="C1" s="161"/>
      <c r="D1" s="161"/>
      <c r="E1" s="161"/>
      <c r="F1" s="161"/>
      <c r="G1" s="161"/>
      <c r="H1" s="161"/>
      <c r="I1" s="161"/>
      <c r="J1" s="161"/>
      <c r="K1" s="161"/>
      <c r="L1" s="161"/>
      <c r="M1" s="161"/>
      <c r="N1" s="161"/>
      <c r="O1" s="161"/>
    </row>
    <row r="2" spans="2:15" ht="32.25" customHeight="1">
      <c r="B2" s="220"/>
      <c r="C2" s="220"/>
      <c r="D2" s="220"/>
      <c r="E2" s="220" t="s">
        <v>240</v>
      </c>
      <c r="F2" s="220"/>
      <c r="G2" s="220"/>
      <c r="H2" s="220"/>
      <c r="I2" s="220"/>
      <c r="J2" s="220"/>
      <c r="K2" s="220"/>
      <c r="L2" s="220"/>
      <c r="M2" s="220"/>
      <c r="N2" s="220"/>
      <c r="O2" s="220"/>
    </row>
    <row r="3" spans="2:15" ht="14.25" customHeight="1">
      <c r="B3" s="161"/>
      <c r="C3" s="161"/>
      <c r="D3" s="161"/>
      <c r="E3" s="161"/>
      <c r="F3" s="161"/>
      <c r="G3" s="161"/>
      <c r="H3" s="161"/>
      <c r="I3" s="161"/>
      <c r="J3" s="161"/>
      <c r="K3" s="161"/>
      <c r="L3" s="161"/>
      <c r="M3" s="161"/>
      <c r="N3" s="161"/>
      <c r="O3" s="161"/>
    </row>
    <row r="4" spans="2:15" ht="8.25" customHeight="1">
      <c r="B4" s="163"/>
      <c r="C4" s="164"/>
      <c r="D4" s="164"/>
      <c r="E4" s="164"/>
      <c r="F4" s="164"/>
      <c r="G4" s="164"/>
      <c r="H4" s="164"/>
      <c r="I4" s="164"/>
      <c r="J4" s="164"/>
      <c r="K4" s="164"/>
      <c r="L4" s="164"/>
      <c r="M4" s="164"/>
      <c r="N4" s="165"/>
      <c r="O4" s="161"/>
    </row>
    <row r="5" spans="2:15" ht="15.6">
      <c r="B5" s="166"/>
      <c r="C5" s="167" t="s">
        <v>241</v>
      </c>
      <c r="D5" s="168"/>
      <c r="E5" s="168"/>
      <c r="F5" s="168"/>
      <c r="G5" s="168"/>
      <c r="H5" s="168"/>
      <c r="I5" s="168"/>
      <c r="J5" s="168"/>
      <c r="K5" s="168"/>
      <c r="L5" s="168"/>
      <c r="M5" s="168"/>
      <c r="N5" s="169"/>
      <c r="O5" s="161"/>
    </row>
    <row r="6" spans="2:15" ht="147" customHeight="1">
      <c r="B6" s="166"/>
      <c r="C6" s="546" t="s">
        <v>267</v>
      </c>
      <c r="D6" s="546"/>
      <c r="E6" s="546"/>
      <c r="F6" s="546"/>
      <c r="G6" s="546"/>
      <c r="H6" s="546"/>
      <c r="I6" s="546"/>
      <c r="J6" s="546"/>
      <c r="K6" s="546"/>
      <c r="L6" s="546"/>
      <c r="M6" s="546"/>
      <c r="N6" s="169"/>
      <c r="O6" s="161"/>
    </row>
    <row r="7" spans="2:15" ht="9" customHeight="1">
      <c r="B7" s="170"/>
      <c r="C7" s="171"/>
      <c r="D7" s="171"/>
      <c r="E7" s="171"/>
      <c r="F7" s="171"/>
      <c r="G7" s="171"/>
      <c r="H7" s="171"/>
      <c r="I7" s="171"/>
      <c r="J7" s="171"/>
      <c r="K7" s="171"/>
      <c r="L7" s="171"/>
      <c r="M7" s="171"/>
      <c r="N7" s="172"/>
      <c r="O7" s="161"/>
    </row>
    <row r="8" spans="2:15" ht="14.25" customHeight="1">
      <c r="B8" s="162"/>
      <c r="C8" s="162"/>
      <c r="D8" s="162"/>
      <c r="E8" s="162"/>
      <c r="F8" s="162"/>
      <c r="G8" s="162"/>
      <c r="H8" s="162"/>
      <c r="I8" s="162"/>
      <c r="J8" s="162"/>
      <c r="K8" s="162"/>
      <c r="L8" s="162"/>
      <c r="M8" s="162"/>
      <c r="N8" s="162"/>
      <c r="O8" s="161"/>
    </row>
    <row r="9" spans="2:15" ht="7.5" customHeight="1">
      <c r="B9" s="163"/>
      <c r="C9" s="164"/>
      <c r="D9" s="164"/>
      <c r="E9" s="164"/>
      <c r="F9" s="164"/>
      <c r="G9" s="164"/>
      <c r="H9" s="164"/>
      <c r="I9" s="164"/>
      <c r="J9" s="164"/>
      <c r="K9" s="164"/>
      <c r="L9" s="164"/>
      <c r="M9" s="164"/>
      <c r="N9" s="165"/>
      <c r="O9" s="161"/>
    </row>
    <row r="10" spans="2:15" ht="15.6">
      <c r="B10" s="173"/>
      <c r="C10" s="167" t="s">
        <v>239</v>
      </c>
      <c r="D10" s="174"/>
      <c r="E10" s="174"/>
      <c r="F10" s="174"/>
      <c r="G10" s="174"/>
      <c r="H10" s="174"/>
      <c r="I10" s="174"/>
      <c r="J10" s="174"/>
      <c r="K10" s="174"/>
      <c r="L10" s="174"/>
      <c r="M10" s="174"/>
      <c r="N10" s="175"/>
      <c r="O10" s="161"/>
    </row>
    <row r="11" spans="2:15" ht="174" customHeight="1">
      <c r="B11" s="176"/>
      <c r="C11" s="546" t="s">
        <v>367</v>
      </c>
      <c r="D11" s="546"/>
      <c r="E11" s="546"/>
      <c r="F11" s="546"/>
      <c r="G11" s="546"/>
      <c r="H11" s="546"/>
      <c r="I11" s="546"/>
      <c r="J11" s="546"/>
      <c r="K11" s="546"/>
      <c r="L11" s="546"/>
      <c r="M11" s="546"/>
      <c r="N11" s="177"/>
      <c r="O11" s="161"/>
    </row>
    <row r="12" spans="2:15" ht="8.25" customHeight="1">
      <c r="B12" s="170"/>
      <c r="C12" s="171"/>
      <c r="D12" s="171"/>
      <c r="E12" s="171"/>
      <c r="F12" s="171"/>
      <c r="G12" s="171"/>
      <c r="H12" s="171"/>
      <c r="I12" s="171"/>
      <c r="J12" s="171"/>
      <c r="K12" s="171"/>
      <c r="L12" s="171"/>
      <c r="M12" s="171"/>
      <c r="N12" s="172"/>
      <c r="O12" s="161"/>
    </row>
    <row r="13" spans="2:15" ht="13.2">
      <c r="B13" s="162"/>
      <c r="C13" s="162"/>
      <c r="D13" s="162"/>
      <c r="E13" s="162"/>
      <c r="F13" s="162"/>
      <c r="G13" s="162"/>
      <c r="H13" s="162"/>
      <c r="I13" s="162"/>
      <c r="J13" s="162"/>
      <c r="K13" s="162"/>
      <c r="L13" s="162"/>
      <c r="M13" s="162"/>
      <c r="N13" s="162"/>
      <c r="O13" s="161"/>
    </row>
    <row r="14" spans="2:15" ht="48.75" customHeight="1"/>
    <row r="15" spans="2:15">
      <c r="B15" t="s">
        <v>242</v>
      </c>
    </row>
    <row r="16" spans="2:15">
      <c r="B16" s="160" t="s">
        <v>243</v>
      </c>
    </row>
    <row r="19" spans="2:2">
      <c r="B19" t="s">
        <v>244</v>
      </c>
    </row>
    <row r="21" spans="2:2">
      <c r="B21" t="s">
        <v>303</v>
      </c>
    </row>
  </sheetData>
  <mergeCells count="2">
    <mergeCell ref="C6:M6"/>
    <mergeCell ref="C11:M11"/>
  </mergeCells>
  <hyperlinks>
    <hyperlink ref="B16" r:id="rId1" xr:uid="{00000000-0004-0000-0000-000000000000}"/>
  </hyperlinks>
  <pageMargins left="0.7" right="0.7" top="0.75" bottom="0.75" header="0.3" footer="0.3"/>
  <pageSetup paperSize="9" orientation="portrait" verticalDpi="0" r:id="rId2"/>
  <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B1:Q249"/>
  <sheetViews>
    <sheetView showGridLines="0" zoomScale="105" zoomScaleNormal="85" workbookViewId="0">
      <pane ySplit="1" topLeftCell="A81" activePane="bottomLeft" state="frozen"/>
      <selection pane="bottomLeft" activeCell="K107" sqref="K107"/>
    </sheetView>
  </sheetViews>
  <sheetFormatPr baseColWidth="10" defaultRowHeight="11.4"/>
  <cols>
    <col min="2" max="2" width="29.375" style="193" bestFit="1" customWidth="1"/>
    <col min="3" max="3" width="23.125" style="159" bestFit="1" customWidth="1"/>
    <col min="4" max="4" width="76.75" customWidth="1"/>
    <col min="5" max="5" width="15.375" style="496" customWidth="1"/>
    <col min="6" max="6" width="21.5" customWidth="1"/>
    <col min="7" max="7" width="12.25" style="498" customWidth="1"/>
    <col min="8" max="8" width="13.75" customWidth="1"/>
    <col min="9" max="9" width="12.625" customWidth="1"/>
    <col min="10" max="10" width="30.125" style="501" customWidth="1"/>
    <col min="11" max="11" width="5.375" customWidth="1"/>
  </cols>
  <sheetData>
    <row r="1" spans="2:17" s="493" customFormat="1" ht="34.200000000000003">
      <c r="B1" s="244" t="s">
        <v>184</v>
      </c>
      <c r="C1" s="244" t="s">
        <v>190</v>
      </c>
      <c r="D1" s="244" t="s">
        <v>185</v>
      </c>
      <c r="E1" s="244" t="s">
        <v>186</v>
      </c>
      <c r="F1" s="244" t="s">
        <v>93</v>
      </c>
      <c r="G1" s="244" t="s">
        <v>191</v>
      </c>
      <c r="H1" s="244" t="s">
        <v>187</v>
      </c>
      <c r="I1" s="244" t="s">
        <v>360</v>
      </c>
      <c r="J1" s="499" t="s">
        <v>52</v>
      </c>
    </row>
    <row r="2" spans="2:17">
      <c r="B2" s="330" t="s">
        <v>54</v>
      </c>
      <c r="C2" s="194" t="s">
        <v>274</v>
      </c>
      <c r="D2" s="502" t="s">
        <v>13</v>
      </c>
      <c r="E2" s="503">
        <v>0.32</v>
      </c>
      <c r="F2" s="502" t="s">
        <v>192</v>
      </c>
      <c r="G2" s="504">
        <v>0.05</v>
      </c>
      <c r="H2" s="505">
        <v>45644</v>
      </c>
      <c r="I2" s="506">
        <v>43070</v>
      </c>
      <c r="J2" s="507" t="s">
        <v>374</v>
      </c>
    </row>
    <row r="3" spans="2:17">
      <c r="B3" s="330" t="s">
        <v>54</v>
      </c>
      <c r="C3" s="194" t="s">
        <v>63</v>
      </c>
      <c r="D3" s="502" t="s">
        <v>64</v>
      </c>
      <c r="E3" s="503">
        <v>0.32</v>
      </c>
      <c r="F3" s="502" t="s">
        <v>192</v>
      </c>
      <c r="G3" s="504">
        <v>0.05</v>
      </c>
      <c r="H3" s="505">
        <v>45644</v>
      </c>
      <c r="I3" s="506">
        <v>43435</v>
      </c>
      <c r="J3" s="507" t="s">
        <v>374</v>
      </c>
    </row>
    <row r="4" spans="2:17">
      <c r="B4" s="330" t="s">
        <v>54</v>
      </c>
      <c r="C4" s="194" t="s">
        <v>63</v>
      </c>
      <c r="D4" s="502" t="s">
        <v>122</v>
      </c>
      <c r="E4" s="503">
        <v>0.24</v>
      </c>
      <c r="F4" s="502" t="s">
        <v>192</v>
      </c>
      <c r="G4" s="504">
        <v>0.05</v>
      </c>
      <c r="H4" s="505">
        <v>45644</v>
      </c>
      <c r="I4" s="506">
        <v>45716</v>
      </c>
      <c r="J4" s="507" t="s">
        <v>374</v>
      </c>
    </row>
    <row r="5" spans="2:17" ht="12" thickBot="1">
      <c r="B5" s="330" t="s">
        <v>54</v>
      </c>
      <c r="C5" s="194" t="s">
        <v>63</v>
      </c>
      <c r="D5" s="502" t="s">
        <v>375</v>
      </c>
      <c r="E5" s="503">
        <v>2.7E-2</v>
      </c>
      <c r="F5" s="502" t="s">
        <v>193</v>
      </c>
      <c r="G5" s="504"/>
      <c r="H5" s="505">
        <v>45278</v>
      </c>
      <c r="I5" s="506">
        <v>44166</v>
      </c>
      <c r="J5" s="507" t="s">
        <v>374</v>
      </c>
    </row>
    <row r="6" spans="2:17">
      <c r="B6" s="330" t="s">
        <v>54</v>
      </c>
      <c r="C6" s="194" t="s">
        <v>63</v>
      </c>
      <c r="D6" s="261" t="s">
        <v>306</v>
      </c>
      <c r="E6" s="494"/>
      <c r="F6" s="254"/>
      <c r="G6" s="497"/>
      <c r="H6" s="262"/>
      <c r="I6" s="263"/>
      <c r="J6" s="500"/>
      <c r="L6" s="547" t="s">
        <v>328</v>
      </c>
      <c r="M6" s="548"/>
      <c r="N6" s="548"/>
      <c r="O6" s="548"/>
      <c r="P6" s="548"/>
      <c r="Q6" s="549"/>
    </row>
    <row r="7" spans="2:17">
      <c r="B7" s="330" t="s">
        <v>54</v>
      </c>
      <c r="C7" s="194" t="s">
        <v>63</v>
      </c>
      <c r="D7" s="261" t="s">
        <v>306</v>
      </c>
      <c r="E7" s="494"/>
      <c r="F7" s="254"/>
      <c r="G7" s="497"/>
      <c r="H7" s="262"/>
      <c r="I7" s="263"/>
      <c r="J7" s="500"/>
      <c r="L7" s="550"/>
      <c r="M7" s="551"/>
      <c r="N7" s="551"/>
      <c r="O7" s="551"/>
      <c r="P7" s="551"/>
      <c r="Q7" s="552"/>
    </row>
    <row r="8" spans="2:17">
      <c r="B8" s="330" t="s">
        <v>54</v>
      </c>
      <c r="C8" s="194" t="s">
        <v>63</v>
      </c>
      <c r="D8" s="261" t="s">
        <v>306</v>
      </c>
      <c r="E8" s="494"/>
      <c r="F8" s="254"/>
      <c r="G8" s="497"/>
      <c r="H8" s="262"/>
      <c r="I8" s="263"/>
      <c r="J8" s="500"/>
      <c r="L8" s="550"/>
      <c r="M8" s="551"/>
      <c r="N8" s="551"/>
      <c r="O8" s="551"/>
      <c r="P8" s="551"/>
      <c r="Q8" s="552"/>
    </row>
    <row r="9" spans="2:17" ht="12" thickBot="1">
      <c r="B9" s="330" t="s">
        <v>54</v>
      </c>
      <c r="C9" s="194" t="s">
        <v>63</v>
      </c>
      <c r="D9" s="261" t="s">
        <v>306</v>
      </c>
      <c r="E9" s="494"/>
      <c r="F9" s="254"/>
      <c r="G9" s="497"/>
      <c r="H9" s="262"/>
      <c r="I9" s="263"/>
      <c r="J9" s="500"/>
      <c r="L9" s="301" t="s">
        <v>373</v>
      </c>
      <c r="M9" s="302"/>
      <c r="N9" s="302"/>
      <c r="O9" s="302"/>
      <c r="P9" s="302"/>
      <c r="Q9" s="303"/>
    </row>
    <row r="10" spans="2:17">
      <c r="B10" s="330" t="s">
        <v>54</v>
      </c>
      <c r="C10" s="194" t="s">
        <v>63</v>
      </c>
      <c r="D10" s="261" t="s">
        <v>306</v>
      </c>
      <c r="E10" s="494"/>
      <c r="F10" s="254"/>
      <c r="G10" s="497"/>
      <c r="H10" s="262"/>
      <c r="I10" s="263"/>
      <c r="J10" s="500"/>
    </row>
    <row r="11" spans="2:17">
      <c r="B11" s="330" t="s">
        <v>54</v>
      </c>
      <c r="C11" s="195" t="s">
        <v>50</v>
      </c>
      <c r="D11" s="508" t="s">
        <v>444</v>
      </c>
      <c r="E11" s="503">
        <v>5.1900000000000002E-2</v>
      </c>
      <c r="F11" s="502" t="s">
        <v>193</v>
      </c>
      <c r="G11" s="504">
        <v>0.1</v>
      </c>
      <c r="H11" s="505">
        <v>45644</v>
      </c>
      <c r="I11" s="506">
        <v>45627</v>
      </c>
      <c r="J11" s="507" t="s">
        <v>374</v>
      </c>
    </row>
    <row r="12" spans="2:17">
      <c r="B12" s="330" t="s">
        <v>54</v>
      </c>
      <c r="C12" s="195" t="s">
        <v>50</v>
      </c>
      <c r="D12" s="508" t="s">
        <v>445</v>
      </c>
      <c r="E12" s="503">
        <v>5.6899999999999999E-2</v>
      </c>
      <c r="F12" s="502" t="s">
        <v>193</v>
      </c>
      <c r="G12" s="504">
        <v>0.1</v>
      </c>
      <c r="H12" s="505">
        <v>44548</v>
      </c>
      <c r="I12" s="506">
        <v>44531</v>
      </c>
      <c r="J12" s="507" t="s">
        <v>374</v>
      </c>
    </row>
    <row r="13" spans="2:17">
      <c r="B13" s="330" t="s">
        <v>54</v>
      </c>
      <c r="C13" s="195" t="s">
        <v>50</v>
      </c>
      <c r="D13" s="508" t="s">
        <v>446</v>
      </c>
      <c r="E13" s="503">
        <v>5.6000000000000001E-2</v>
      </c>
      <c r="F13" s="502" t="s">
        <v>193</v>
      </c>
      <c r="G13" s="504">
        <v>0.1</v>
      </c>
      <c r="H13" s="505">
        <v>43087</v>
      </c>
      <c r="I13" s="506">
        <v>43070</v>
      </c>
      <c r="J13" s="507" t="s">
        <v>374</v>
      </c>
    </row>
    <row r="14" spans="2:17">
      <c r="B14" s="330" t="s">
        <v>54</v>
      </c>
      <c r="C14" s="195" t="s">
        <v>50</v>
      </c>
      <c r="D14" s="508" t="s">
        <v>443</v>
      </c>
      <c r="E14" s="503">
        <v>0.46</v>
      </c>
      <c r="F14" s="502" t="s">
        <v>193</v>
      </c>
      <c r="G14" s="504">
        <v>0.1</v>
      </c>
      <c r="H14" s="505">
        <v>43087</v>
      </c>
      <c r="I14" s="506">
        <v>43070</v>
      </c>
      <c r="J14" s="507" t="s">
        <v>374</v>
      </c>
    </row>
    <row r="15" spans="2:17">
      <c r="B15" s="330" t="s">
        <v>54</v>
      </c>
      <c r="C15" s="195" t="s">
        <v>50</v>
      </c>
      <c r="D15" s="508" t="s">
        <v>447</v>
      </c>
      <c r="E15" s="503">
        <v>0.42</v>
      </c>
      <c r="F15" s="502" t="s">
        <v>193</v>
      </c>
      <c r="G15" s="504">
        <v>0.1</v>
      </c>
      <c r="H15" s="505">
        <v>43087</v>
      </c>
      <c r="I15" s="506">
        <v>43070</v>
      </c>
      <c r="J15" s="507" t="s">
        <v>374</v>
      </c>
    </row>
    <row r="16" spans="2:17">
      <c r="B16" s="330" t="s">
        <v>54</v>
      </c>
      <c r="C16" s="195" t="s">
        <v>50</v>
      </c>
      <c r="D16" s="261" t="s">
        <v>306</v>
      </c>
      <c r="E16" s="494"/>
      <c r="F16" s="254"/>
      <c r="G16" s="497"/>
      <c r="H16" s="262"/>
      <c r="I16" s="254"/>
      <c r="J16" s="500"/>
    </row>
    <row r="17" spans="2:10">
      <c r="B17" s="330" t="s">
        <v>54</v>
      </c>
      <c r="C17" s="196" t="s">
        <v>273</v>
      </c>
      <c r="D17" s="502" t="s">
        <v>22</v>
      </c>
      <c r="E17" s="503">
        <v>1530</v>
      </c>
      <c r="F17" s="502" t="s">
        <v>260</v>
      </c>
      <c r="G17" s="504">
        <v>0.3</v>
      </c>
      <c r="H17" s="505">
        <v>45556</v>
      </c>
      <c r="I17" s="502"/>
      <c r="J17" s="507" t="s">
        <v>381</v>
      </c>
    </row>
    <row r="18" spans="2:10">
      <c r="B18" s="330" t="s">
        <v>54</v>
      </c>
      <c r="C18" s="196" t="s">
        <v>273</v>
      </c>
      <c r="D18" s="502" t="s">
        <v>382</v>
      </c>
      <c r="E18" s="503">
        <v>1960</v>
      </c>
      <c r="F18" s="502" t="s">
        <v>260</v>
      </c>
      <c r="G18" s="504">
        <v>0.3</v>
      </c>
      <c r="H18" s="505">
        <v>45556</v>
      </c>
      <c r="I18" s="525"/>
      <c r="J18" s="507" t="s">
        <v>381</v>
      </c>
    </row>
    <row r="19" spans="2:10">
      <c r="B19" s="330" t="s">
        <v>54</v>
      </c>
      <c r="C19" s="196" t="s">
        <v>273</v>
      </c>
      <c r="D19" s="502" t="s">
        <v>262</v>
      </c>
      <c r="E19" s="503">
        <v>770</v>
      </c>
      <c r="F19" s="502" t="s">
        <v>260</v>
      </c>
      <c r="G19" s="504">
        <v>0.3</v>
      </c>
      <c r="H19" s="505">
        <v>45556</v>
      </c>
      <c r="I19" s="525"/>
      <c r="J19" s="507" t="s">
        <v>381</v>
      </c>
    </row>
    <row r="20" spans="2:10">
      <c r="B20" s="330" t="s">
        <v>54</v>
      </c>
      <c r="C20" s="196" t="s">
        <v>273</v>
      </c>
      <c r="D20" s="502" t="s">
        <v>383</v>
      </c>
      <c r="E20" s="503">
        <v>4730</v>
      </c>
      <c r="F20" s="502" t="s">
        <v>260</v>
      </c>
      <c r="G20" s="504">
        <v>0.3</v>
      </c>
      <c r="H20" s="505">
        <v>45556</v>
      </c>
      <c r="I20" s="525"/>
      <c r="J20" s="507" t="s">
        <v>374</v>
      </c>
    </row>
    <row r="21" spans="2:10">
      <c r="B21" s="330" t="s">
        <v>54</v>
      </c>
      <c r="C21" s="196" t="s">
        <v>273</v>
      </c>
      <c r="D21" s="502" t="s">
        <v>259</v>
      </c>
      <c r="E21" s="503">
        <v>1910</v>
      </c>
      <c r="F21" s="502" t="s">
        <v>260</v>
      </c>
      <c r="G21" s="504">
        <v>0.3</v>
      </c>
      <c r="H21" s="505">
        <v>45556</v>
      </c>
      <c r="I21" s="525"/>
      <c r="J21" s="507" t="s">
        <v>374</v>
      </c>
    </row>
    <row r="22" spans="2:10">
      <c r="B22" s="330" t="s">
        <v>54</v>
      </c>
      <c r="C22" s="196" t="s">
        <v>273</v>
      </c>
      <c r="D22" s="502" t="s">
        <v>261</v>
      </c>
      <c r="E22" s="503">
        <v>2260</v>
      </c>
      <c r="F22" s="502" t="s">
        <v>260</v>
      </c>
      <c r="G22" s="504">
        <v>0.3</v>
      </c>
      <c r="H22" s="505">
        <v>45556</v>
      </c>
      <c r="I22" s="525"/>
      <c r="J22" s="507" t="s">
        <v>374</v>
      </c>
    </row>
    <row r="23" spans="2:10">
      <c r="B23" s="330" t="s">
        <v>54</v>
      </c>
      <c r="C23" s="196" t="s">
        <v>273</v>
      </c>
      <c r="D23" s="502" t="s">
        <v>379</v>
      </c>
      <c r="E23" s="503">
        <v>2400</v>
      </c>
      <c r="F23" s="502" t="s">
        <v>260</v>
      </c>
      <c r="G23" s="504">
        <v>0.3</v>
      </c>
      <c r="H23" s="505">
        <v>45556</v>
      </c>
      <c r="I23" s="525"/>
      <c r="J23" s="507" t="s">
        <v>374</v>
      </c>
    </row>
    <row r="24" spans="2:10">
      <c r="B24" s="330" t="s">
        <v>54</v>
      </c>
      <c r="C24" s="196" t="s">
        <v>273</v>
      </c>
      <c r="D24" s="502" t="s">
        <v>380</v>
      </c>
      <c r="E24" s="503">
        <v>2640</v>
      </c>
      <c r="F24" s="502" t="s">
        <v>260</v>
      </c>
      <c r="G24" s="504">
        <v>0.3</v>
      </c>
      <c r="H24" s="505">
        <v>45556</v>
      </c>
      <c r="I24" s="525"/>
      <c r="J24" s="507" t="s">
        <v>374</v>
      </c>
    </row>
    <row r="25" spans="2:10">
      <c r="B25" s="330" t="s">
        <v>54</v>
      </c>
      <c r="C25" s="196" t="s">
        <v>273</v>
      </c>
      <c r="D25" s="261" t="s">
        <v>306</v>
      </c>
      <c r="E25" s="494"/>
      <c r="F25" s="254"/>
      <c r="G25" s="497"/>
      <c r="H25" s="262"/>
      <c r="I25" s="344"/>
      <c r="J25" s="500"/>
    </row>
    <row r="26" spans="2:10">
      <c r="B26" s="330" t="s">
        <v>54</v>
      </c>
      <c r="C26" s="196" t="s">
        <v>273</v>
      </c>
      <c r="D26" s="261" t="s">
        <v>306</v>
      </c>
      <c r="E26" s="494"/>
      <c r="F26" s="254"/>
      <c r="G26" s="497"/>
      <c r="H26" s="262"/>
      <c r="I26" s="344"/>
      <c r="J26" s="500"/>
    </row>
    <row r="27" spans="2:10">
      <c r="B27" s="330" t="s">
        <v>54</v>
      </c>
      <c r="C27" s="196" t="s">
        <v>273</v>
      </c>
      <c r="D27" s="261" t="s">
        <v>306</v>
      </c>
      <c r="E27" s="494"/>
      <c r="F27" s="254"/>
      <c r="G27" s="497"/>
      <c r="H27" s="262"/>
      <c r="I27" s="344"/>
      <c r="J27" s="500"/>
    </row>
    <row r="28" spans="2:10">
      <c r="B28" s="330" t="s">
        <v>54</v>
      </c>
      <c r="C28" s="196" t="s">
        <v>273</v>
      </c>
      <c r="D28" s="261" t="s">
        <v>306</v>
      </c>
      <c r="E28" s="494"/>
      <c r="F28" s="254"/>
      <c r="G28" s="497"/>
      <c r="H28" s="262"/>
      <c r="I28" s="344"/>
      <c r="J28" s="500"/>
    </row>
    <row r="29" spans="2:10">
      <c r="B29" s="330" t="s">
        <v>54</v>
      </c>
      <c r="C29" s="196" t="s">
        <v>273</v>
      </c>
      <c r="D29" s="261" t="s">
        <v>306</v>
      </c>
      <c r="E29" s="494"/>
      <c r="F29" s="254"/>
      <c r="G29" s="497"/>
      <c r="H29" s="262"/>
      <c r="I29" s="344"/>
      <c r="J29" s="500"/>
    </row>
    <row r="30" spans="2:10">
      <c r="B30" s="197" t="s">
        <v>188</v>
      </c>
      <c r="C30" s="198" t="s">
        <v>29</v>
      </c>
      <c r="D30" s="502" t="s">
        <v>384</v>
      </c>
      <c r="E30" s="503">
        <v>0.17</v>
      </c>
      <c r="F30" s="502" t="s">
        <v>223</v>
      </c>
      <c r="G30" s="504">
        <v>0.7</v>
      </c>
      <c r="H30" s="505">
        <v>46009</v>
      </c>
      <c r="I30" s="506">
        <v>46357</v>
      </c>
      <c r="J30" s="507" t="s">
        <v>374</v>
      </c>
    </row>
    <row r="31" spans="2:10">
      <c r="B31" s="197" t="s">
        <v>188</v>
      </c>
      <c r="C31" s="198" t="s">
        <v>29</v>
      </c>
      <c r="D31" s="502" t="s">
        <v>386</v>
      </c>
      <c r="E31" s="503">
        <v>0.4</v>
      </c>
      <c r="F31" s="502" t="s">
        <v>223</v>
      </c>
      <c r="G31" s="504">
        <v>0.7</v>
      </c>
      <c r="H31" s="505">
        <v>46009</v>
      </c>
      <c r="I31" s="506">
        <v>46357</v>
      </c>
      <c r="J31" s="507" t="s">
        <v>374</v>
      </c>
    </row>
    <row r="32" spans="2:10">
      <c r="B32" s="197" t="s">
        <v>188</v>
      </c>
      <c r="C32" s="198" t="s">
        <v>29</v>
      </c>
      <c r="D32" s="502" t="s">
        <v>385</v>
      </c>
      <c r="E32" s="503">
        <v>0.14000000000000001</v>
      </c>
      <c r="F32" s="502" t="s">
        <v>223</v>
      </c>
      <c r="G32" s="504">
        <v>0.7</v>
      </c>
      <c r="H32" s="505">
        <v>46009</v>
      </c>
      <c r="I32" s="506">
        <v>46357</v>
      </c>
      <c r="J32" s="507" t="s">
        <v>374</v>
      </c>
    </row>
    <row r="33" spans="2:10">
      <c r="B33" s="197" t="s">
        <v>188</v>
      </c>
      <c r="C33" s="198" t="s">
        <v>29</v>
      </c>
      <c r="D33" s="502" t="s">
        <v>387</v>
      </c>
      <c r="E33" s="503">
        <v>8.6999999999999994E-2</v>
      </c>
      <c r="F33" s="502" t="s">
        <v>223</v>
      </c>
      <c r="G33" s="504">
        <v>0.7</v>
      </c>
      <c r="H33" s="505">
        <v>46009</v>
      </c>
      <c r="I33" s="506">
        <v>46357</v>
      </c>
      <c r="J33" s="507" t="s">
        <v>374</v>
      </c>
    </row>
    <row r="34" spans="2:10">
      <c r="B34" s="197" t="s">
        <v>188</v>
      </c>
      <c r="C34" s="198" t="s">
        <v>29</v>
      </c>
      <c r="D34" s="502" t="s">
        <v>388</v>
      </c>
      <c r="E34" s="503">
        <v>0.92</v>
      </c>
      <c r="F34" s="502" t="s">
        <v>223</v>
      </c>
      <c r="G34" s="504">
        <v>0.7</v>
      </c>
      <c r="H34" s="505">
        <v>46009</v>
      </c>
      <c r="I34" s="506">
        <v>46357</v>
      </c>
      <c r="J34" s="507" t="s">
        <v>374</v>
      </c>
    </row>
    <row r="35" spans="2:10">
      <c r="B35" s="197" t="s">
        <v>188</v>
      </c>
      <c r="C35" s="198" t="s">
        <v>29</v>
      </c>
      <c r="D35" s="261" t="s">
        <v>306</v>
      </c>
      <c r="E35" s="494"/>
      <c r="F35" s="254"/>
      <c r="G35" s="497"/>
      <c r="H35" s="254"/>
      <c r="I35" s="254"/>
      <c r="J35" s="500"/>
    </row>
    <row r="36" spans="2:10">
      <c r="B36" s="197" t="s">
        <v>188</v>
      </c>
      <c r="C36" s="198" t="s">
        <v>29</v>
      </c>
      <c r="D36" s="261" t="s">
        <v>306</v>
      </c>
      <c r="E36" s="494"/>
      <c r="F36" s="254"/>
      <c r="G36" s="497"/>
      <c r="H36" s="254"/>
      <c r="I36" s="254"/>
      <c r="J36" s="500"/>
    </row>
    <row r="37" spans="2:10">
      <c r="B37" s="197" t="s">
        <v>188</v>
      </c>
      <c r="C37" s="198" t="s">
        <v>29</v>
      </c>
      <c r="D37" s="261" t="s">
        <v>306</v>
      </c>
      <c r="E37" s="494"/>
      <c r="F37" s="254"/>
      <c r="G37" s="497"/>
      <c r="H37" s="254"/>
      <c r="I37" s="254"/>
      <c r="J37" s="500"/>
    </row>
    <row r="38" spans="2:10">
      <c r="B38" s="197" t="s">
        <v>188</v>
      </c>
      <c r="C38" s="198" t="s">
        <v>29</v>
      </c>
      <c r="D38" s="261" t="s">
        <v>306</v>
      </c>
      <c r="E38" s="494"/>
      <c r="F38" s="254"/>
      <c r="G38" s="497"/>
      <c r="H38" s="254"/>
      <c r="I38" s="254"/>
      <c r="J38" s="500"/>
    </row>
    <row r="39" spans="2:10">
      <c r="B39" s="197" t="s">
        <v>188</v>
      </c>
      <c r="C39" s="198" t="s">
        <v>29</v>
      </c>
      <c r="D39" s="261" t="s">
        <v>306</v>
      </c>
      <c r="E39" s="494"/>
      <c r="F39" s="254"/>
      <c r="G39" s="497"/>
      <c r="H39" s="254"/>
      <c r="I39" s="254"/>
      <c r="J39" s="500"/>
    </row>
    <row r="40" spans="2:10">
      <c r="B40" s="197" t="s">
        <v>188</v>
      </c>
      <c r="C40" s="199" t="s">
        <v>30</v>
      </c>
      <c r="D40" s="502" t="s">
        <v>391</v>
      </c>
      <c r="E40" s="503">
        <v>2.36</v>
      </c>
      <c r="F40" s="502" t="s">
        <v>223</v>
      </c>
      <c r="G40" s="504">
        <v>0.7</v>
      </c>
      <c r="H40" s="505">
        <v>45914</v>
      </c>
      <c r="I40" s="506">
        <v>46357</v>
      </c>
      <c r="J40" s="507" t="s">
        <v>374</v>
      </c>
    </row>
    <row r="41" spans="2:10">
      <c r="B41" s="197" t="s">
        <v>188</v>
      </c>
      <c r="C41" s="199" t="s">
        <v>30</v>
      </c>
      <c r="D41" s="502" t="s">
        <v>389</v>
      </c>
      <c r="E41" s="503">
        <v>1.69</v>
      </c>
      <c r="F41" s="502" t="s">
        <v>223</v>
      </c>
      <c r="G41" s="504">
        <v>0.7</v>
      </c>
      <c r="H41" s="505">
        <v>45914</v>
      </c>
      <c r="I41" s="506">
        <v>46357</v>
      </c>
      <c r="J41" s="507" t="s">
        <v>374</v>
      </c>
    </row>
    <row r="42" spans="2:10">
      <c r="B42" s="197" t="s">
        <v>188</v>
      </c>
      <c r="C42" s="199" t="s">
        <v>30</v>
      </c>
      <c r="D42" s="502" t="s">
        <v>390</v>
      </c>
      <c r="E42" s="503">
        <v>1.51</v>
      </c>
      <c r="F42" s="502" t="s">
        <v>223</v>
      </c>
      <c r="G42" s="504">
        <v>0.7</v>
      </c>
      <c r="H42" s="505">
        <v>45914</v>
      </c>
      <c r="I42" s="506">
        <v>46357</v>
      </c>
      <c r="J42" s="507" t="s">
        <v>374</v>
      </c>
    </row>
    <row r="43" spans="2:10">
      <c r="B43" s="197" t="s">
        <v>188</v>
      </c>
      <c r="C43" s="199" t="s">
        <v>30</v>
      </c>
      <c r="D43" s="261" t="s">
        <v>306</v>
      </c>
      <c r="E43" s="494"/>
      <c r="F43" s="254"/>
      <c r="G43" s="497"/>
      <c r="H43" s="262"/>
      <c r="I43" s="263"/>
      <c r="J43" s="500"/>
    </row>
    <row r="44" spans="2:10">
      <c r="B44" s="197" t="s">
        <v>188</v>
      </c>
      <c r="C44" s="199" t="s">
        <v>30</v>
      </c>
      <c r="D44" s="261" t="s">
        <v>306</v>
      </c>
      <c r="E44" s="494"/>
      <c r="F44" s="254"/>
      <c r="G44" s="497"/>
      <c r="H44" s="262"/>
      <c r="I44" s="263"/>
      <c r="J44" s="500"/>
    </row>
    <row r="45" spans="2:10">
      <c r="B45" s="197" t="s">
        <v>188</v>
      </c>
      <c r="C45" s="199" t="s">
        <v>30</v>
      </c>
      <c r="D45" s="261" t="s">
        <v>306</v>
      </c>
      <c r="E45" s="494"/>
      <c r="F45" s="254"/>
      <c r="G45" s="497"/>
      <c r="H45" s="262"/>
      <c r="I45" s="263"/>
      <c r="J45" s="500"/>
    </row>
    <row r="46" spans="2:10">
      <c r="B46" s="197" t="s">
        <v>188</v>
      </c>
      <c r="C46" s="199" t="s">
        <v>30</v>
      </c>
      <c r="D46" s="261" t="s">
        <v>306</v>
      </c>
      <c r="E46" s="494"/>
      <c r="F46" s="254"/>
      <c r="G46" s="497"/>
      <c r="H46" s="262"/>
      <c r="I46" s="263"/>
      <c r="J46" s="500"/>
    </row>
    <row r="47" spans="2:10">
      <c r="B47" s="197" t="s">
        <v>188</v>
      </c>
      <c r="C47" s="199" t="s">
        <v>30</v>
      </c>
      <c r="D47" s="261" t="s">
        <v>306</v>
      </c>
      <c r="E47" s="494"/>
      <c r="F47" s="254"/>
      <c r="G47" s="497"/>
      <c r="H47" s="262"/>
      <c r="I47" s="263"/>
      <c r="J47" s="500"/>
    </row>
    <row r="48" spans="2:10">
      <c r="B48" s="197" t="s">
        <v>188</v>
      </c>
      <c r="C48" s="200" t="s">
        <v>31</v>
      </c>
      <c r="D48" s="502" t="s">
        <v>393</v>
      </c>
      <c r="E48" s="503">
        <v>6.13E-2</v>
      </c>
      <c r="F48" s="502" t="s">
        <v>223</v>
      </c>
      <c r="G48" s="504"/>
      <c r="H48" s="505">
        <v>45914</v>
      </c>
      <c r="I48" s="506">
        <v>46357</v>
      </c>
      <c r="J48" s="507" t="s">
        <v>374</v>
      </c>
    </row>
    <row r="49" spans="2:10">
      <c r="B49" s="197" t="s">
        <v>188</v>
      </c>
      <c r="C49" s="200" t="s">
        <v>31</v>
      </c>
      <c r="D49" s="502" t="s">
        <v>392</v>
      </c>
      <c r="E49" s="526">
        <v>4.0400000000000002E-3</v>
      </c>
      <c r="F49" s="502" t="s">
        <v>223</v>
      </c>
      <c r="G49" s="504">
        <v>0.7</v>
      </c>
      <c r="H49" s="505">
        <v>45914</v>
      </c>
      <c r="I49" s="506">
        <v>46357</v>
      </c>
      <c r="J49" s="507" t="s">
        <v>374</v>
      </c>
    </row>
    <row r="50" spans="2:10">
      <c r="B50" s="197" t="s">
        <v>188</v>
      </c>
      <c r="C50" s="200" t="s">
        <v>31</v>
      </c>
      <c r="D50" s="261" t="s">
        <v>306</v>
      </c>
      <c r="E50" s="495"/>
      <c r="F50" s="254"/>
      <c r="G50" s="497"/>
      <c r="H50" s="262"/>
      <c r="I50" s="263"/>
      <c r="J50" s="500"/>
    </row>
    <row r="51" spans="2:10">
      <c r="B51" s="197" t="s">
        <v>188</v>
      </c>
      <c r="C51" s="200" t="s">
        <v>31</v>
      </c>
      <c r="D51" s="261" t="s">
        <v>306</v>
      </c>
      <c r="E51" s="495"/>
      <c r="F51" s="254"/>
      <c r="G51" s="497"/>
      <c r="H51" s="262"/>
      <c r="I51" s="263"/>
      <c r="J51" s="500"/>
    </row>
    <row r="52" spans="2:10">
      <c r="B52" s="197" t="s">
        <v>188</v>
      </c>
      <c r="C52" s="200" t="s">
        <v>31</v>
      </c>
      <c r="D52" s="261" t="s">
        <v>306</v>
      </c>
      <c r="E52" s="495"/>
      <c r="F52" s="254"/>
      <c r="G52" s="497"/>
      <c r="H52" s="262"/>
      <c r="I52" s="263"/>
      <c r="J52" s="500"/>
    </row>
    <row r="53" spans="2:10">
      <c r="B53" s="197" t="s">
        <v>188</v>
      </c>
      <c r="C53" s="200" t="s">
        <v>31</v>
      </c>
      <c r="D53" s="261" t="s">
        <v>306</v>
      </c>
      <c r="E53" s="495"/>
      <c r="F53" s="254"/>
      <c r="G53" s="497"/>
      <c r="H53" s="262"/>
      <c r="I53" s="263"/>
      <c r="J53" s="500"/>
    </row>
    <row r="54" spans="2:10">
      <c r="B54" s="197" t="s">
        <v>188</v>
      </c>
      <c r="C54" s="200" t="s">
        <v>31</v>
      </c>
      <c r="D54" s="261" t="s">
        <v>306</v>
      </c>
      <c r="E54" s="495"/>
      <c r="F54" s="254"/>
      <c r="G54" s="497"/>
      <c r="H54" s="262"/>
      <c r="I54" s="263"/>
      <c r="J54" s="500"/>
    </row>
    <row r="55" spans="2:10">
      <c r="B55" s="197" t="s">
        <v>188</v>
      </c>
      <c r="C55" s="252" t="s">
        <v>294</v>
      </c>
      <c r="D55" s="502" t="s">
        <v>394</v>
      </c>
      <c r="E55" s="526">
        <v>1.0200000000000001E-2</v>
      </c>
      <c r="F55" s="502" t="s">
        <v>223</v>
      </c>
      <c r="G55" s="504"/>
      <c r="H55" s="505">
        <v>45933</v>
      </c>
      <c r="I55" s="506"/>
      <c r="J55" s="507" t="s">
        <v>374</v>
      </c>
    </row>
    <row r="56" spans="2:10">
      <c r="B56" s="197" t="s">
        <v>188</v>
      </c>
      <c r="C56" s="252" t="s">
        <v>294</v>
      </c>
      <c r="D56" s="502" t="s">
        <v>395</v>
      </c>
      <c r="E56" s="526">
        <v>2.2700000000000001E-2</v>
      </c>
      <c r="F56" s="502" t="s">
        <v>223</v>
      </c>
      <c r="G56" s="504"/>
      <c r="H56" s="505">
        <v>45933</v>
      </c>
      <c r="I56" s="506"/>
      <c r="J56" s="507" t="s">
        <v>374</v>
      </c>
    </row>
    <row r="57" spans="2:10">
      <c r="B57" s="197" t="s">
        <v>188</v>
      </c>
      <c r="C57" s="252" t="s">
        <v>294</v>
      </c>
      <c r="D57" s="261" t="s">
        <v>306</v>
      </c>
      <c r="E57" s="495"/>
      <c r="F57" s="254"/>
      <c r="G57" s="497"/>
      <c r="H57" s="262"/>
      <c r="I57" s="263"/>
      <c r="J57" s="500"/>
    </row>
    <row r="58" spans="2:10">
      <c r="B58" s="197" t="s">
        <v>188</v>
      </c>
      <c r="C58" s="252" t="s">
        <v>294</v>
      </c>
      <c r="D58" s="261" t="s">
        <v>306</v>
      </c>
      <c r="E58" s="495"/>
      <c r="F58" s="254"/>
      <c r="G58" s="497"/>
      <c r="H58" s="262"/>
      <c r="I58" s="263"/>
      <c r="J58" s="500"/>
    </row>
    <row r="59" spans="2:10">
      <c r="B59" s="197" t="s">
        <v>188</v>
      </c>
      <c r="C59" s="252" t="s">
        <v>294</v>
      </c>
      <c r="D59" s="261" t="s">
        <v>306</v>
      </c>
      <c r="E59" s="495"/>
      <c r="F59" s="254"/>
      <c r="G59" s="497"/>
      <c r="H59" s="262"/>
      <c r="I59" s="263"/>
      <c r="J59" s="500"/>
    </row>
    <row r="60" spans="2:10">
      <c r="B60" s="197" t="s">
        <v>188</v>
      </c>
      <c r="C60" s="252" t="s">
        <v>294</v>
      </c>
      <c r="D60" s="261" t="s">
        <v>306</v>
      </c>
      <c r="E60" s="495"/>
      <c r="F60" s="254"/>
      <c r="G60" s="497"/>
      <c r="H60" s="262"/>
      <c r="I60" s="263"/>
      <c r="J60" s="500"/>
    </row>
    <row r="61" spans="2:10">
      <c r="B61" s="197" t="s">
        <v>188</v>
      </c>
      <c r="C61" s="252" t="s">
        <v>294</v>
      </c>
      <c r="D61" s="261" t="s">
        <v>306</v>
      </c>
      <c r="E61" s="495"/>
      <c r="F61" s="254"/>
      <c r="G61" s="497"/>
      <c r="H61" s="262"/>
      <c r="I61" s="263"/>
      <c r="J61" s="500"/>
    </row>
    <row r="62" spans="2:10">
      <c r="B62" s="323" t="s">
        <v>189</v>
      </c>
      <c r="C62" s="201" t="s">
        <v>372</v>
      </c>
      <c r="D62" s="527" t="s">
        <v>396</v>
      </c>
      <c r="E62" s="503">
        <v>0.27</v>
      </c>
      <c r="F62" s="502" t="s">
        <v>194</v>
      </c>
      <c r="G62" s="504">
        <v>0.6</v>
      </c>
      <c r="H62" s="505">
        <v>45738</v>
      </c>
      <c r="I62" s="506">
        <v>46357</v>
      </c>
      <c r="J62" s="507" t="s">
        <v>374</v>
      </c>
    </row>
    <row r="63" spans="2:10">
      <c r="B63" s="323" t="s">
        <v>189</v>
      </c>
      <c r="C63" s="201" t="s">
        <v>372</v>
      </c>
      <c r="D63" s="527" t="s">
        <v>397</v>
      </c>
      <c r="E63" s="503">
        <v>0.24</v>
      </c>
      <c r="F63" s="502" t="s">
        <v>194</v>
      </c>
      <c r="G63" s="504">
        <v>0.6</v>
      </c>
      <c r="H63" s="505">
        <v>45738</v>
      </c>
      <c r="I63" s="506">
        <v>46357</v>
      </c>
      <c r="J63" s="507" t="s">
        <v>374</v>
      </c>
    </row>
    <row r="64" spans="2:10">
      <c r="B64" s="323" t="s">
        <v>189</v>
      </c>
      <c r="C64" s="201" t="s">
        <v>372</v>
      </c>
      <c r="D64" s="261" t="s">
        <v>306</v>
      </c>
      <c r="E64" s="494"/>
      <c r="F64" s="254"/>
      <c r="G64" s="497"/>
      <c r="H64" s="262"/>
      <c r="I64" s="263"/>
      <c r="J64" s="500"/>
    </row>
    <row r="65" spans="2:10">
      <c r="B65" s="323" t="s">
        <v>189</v>
      </c>
      <c r="C65" s="201" t="s">
        <v>372</v>
      </c>
      <c r="D65" s="261" t="s">
        <v>306</v>
      </c>
      <c r="E65" s="494"/>
      <c r="F65" s="254"/>
      <c r="G65" s="497"/>
      <c r="H65" s="262"/>
      <c r="I65" s="263"/>
      <c r="J65" s="500"/>
    </row>
    <row r="66" spans="2:10">
      <c r="B66" s="323" t="s">
        <v>189</v>
      </c>
      <c r="C66" s="201" t="s">
        <v>372</v>
      </c>
      <c r="D66" s="261" t="s">
        <v>306</v>
      </c>
      <c r="E66" s="494"/>
      <c r="F66" s="254"/>
      <c r="G66" s="497"/>
      <c r="H66" s="262"/>
      <c r="I66" s="263"/>
      <c r="J66" s="500"/>
    </row>
    <row r="67" spans="2:10">
      <c r="B67" s="323" t="s">
        <v>189</v>
      </c>
      <c r="C67" s="201" t="s">
        <v>372</v>
      </c>
      <c r="D67" s="261" t="s">
        <v>306</v>
      </c>
      <c r="E67" s="494"/>
      <c r="F67" s="254"/>
      <c r="G67" s="497"/>
      <c r="H67" s="262"/>
      <c r="I67" s="263"/>
      <c r="J67" s="500"/>
    </row>
    <row r="68" spans="2:10">
      <c r="B68" s="323" t="s">
        <v>189</v>
      </c>
      <c r="C68" s="201" t="s">
        <v>372</v>
      </c>
      <c r="D68" s="261" t="s">
        <v>306</v>
      </c>
      <c r="E68" s="494"/>
      <c r="F68" s="254"/>
      <c r="G68" s="497"/>
      <c r="H68" s="262"/>
      <c r="I68" s="263"/>
      <c r="J68" s="500"/>
    </row>
    <row r="69" spans="2:10">
      <c r="B69" s="323" t="s">
        <v>189</v>
      </c>
      <c r="C69" s="202" t="s">
        <v>272</v>
      </c>
      <c r="D69" s="528" t="s">
        <v>398</v>
      </c>
      <c r="E69" s="503">
        <v>0.15</v>
      </c>
      <c r="F69" s="502" t="s">
        <v>195</v>
      </c>
      <c r="G69" s="504">
        <v>0.6</v>
      </c>
      <c r="H69" s="505">
        <v>43357</v>
      </c>
      <c r="I69" s="506">
        <v>44652</v>
      </c>
      <c r="J69" s="507" t="s">
        <v>374</v>
      </c>
    </row>
    <row r="70" spans="2:10">
      <c r="B70" s="323" t="s">
        <v>189</v>
      </c>
      <c r="C70" s="202" t="s">
        <v>272</v>
      </c>
      <c r="D70" s="528" t="s">
        <v>399</v>
      </c>
      <c r="E70" s="503">
        <v>0.2</v>
      </c>
      <c r="F70" s="502" t="s">
        <v>195</v>
      </c>
      <c r="G70" s="504">
        <v>0.6</v>
      </c>
      <c r="H70" s="505">
        <v>43357</v>
      </c>
      <c r="I70" s="506">
        <v>44652</v>
      </c>
      <c r="J70" s="507" t="s">
        <v>374</v>
      </c>
    </row>
    <row r="71" spans="2:10">
      <c r="B71" s="323" t="s">
        <v>189</v>
      </c>
      <c r="C71" s="202" t="s">
        <v>272</v>
      </c>
      <c r="D71" s="528" t="s">
        <v>222</v>
      </c>
      <c r="E71" s="503">
        <v>0.15</v>
      </c>
      <c r="F71" s="502" t="s">
        <v>195</v>
      </c>
      <c r="G71" s="504">
        <v>0.6</v>
      </c>
      <c r="H71" s="505">
        <v>43357</v>
      </c>
      <c r="I71" s="506">
        <v>44652</v>
      </c>
      <c r="J71" s="507" t="s">
        <v>374</v>
      </c>
    </row>
    <row r="72" spans="2:10">
      <c r="B72" s="323" t="s">
        <v>189</v>
      </c>
      <c r="C72" s="202" t="s">
        <v>272</v>
      </c>
      <c r="D72" s="528" t="s">
        <v>401</v>
      </c>
      <c r="E72" s="503">
        <v>4.4000000000000003E-3</v>
      </c>
      <c r="F72" s="502" t="s">
        <v>195</v>
      </c>
      <c r="G72" s="504">
        <v>0.2</v>
      </c>
      <c r="H72" s="505">
        <v>43375</v>
      </c>
      <c r="I72" s="506">
        <v>46357</v>
      </c>
      <c r="J72" s="507" t="s">
        <v>374</v>
      </c>
    </row>
    <row r="73" spans="2:10">
      <c r="B73" s="323" t="s">
        <v>189</v>
      </c>
      <c r="C73" s="202" t="s">
        <v>272</v>
      </c>
      <c r="D73" s="528" t="s">
        <v>400</v>
      </c>
      <c r="E73" s="503">
        <v>9.7999999999999997E-3</v>
      </c>
      <c r="F73" s="502" t="s">
        <v>195</v>
      </c>
      <c r="G73" s="504">
        <v>0.2</v>
      </c>
      <c r="H73" s="505">
        <v>43375</v>
      </c>
      <c r="I73" s="506">
        <v>45383</v>
      </c>
      <c r="J73" s="507" t="s">
        <v>374</v>
      </c>
    </row>
    <row r="74" spans="2:10">
      <c r="B74" s="323" t="s">
        <v>189</v>
      </c>
      <c r="C74" s="202" t="s">
        <v>272</v>
      </c>
      <c r="D74" s="528" t="s">
        <v>402</v>
      </c>
      <c r="E74" s="503">
        <v>5.0000000000000001E-3</v>
      </c>
      <c r="F74" s="502" t="s">
        <v>195</v>
      </c>
      <c r="G74" s="504">
        <v>0.6</v>
      </c>
      <c r="H74" s="505">
        <v>43375</v>
      </c>
      <c r="I74" s="506">
        <v>44287</v>
      </c>
      <c r="J74" s="507" t="s">
        <v>374</v>
      </c>
    </row>
    <row r="75" spans="2:10">
      <c r="B75" s="323" t="s">
        <v>189</v>
      </c>
      <c r="C75" s="202" t="s">
        <v>272</v>
      </c>
      <c r="D75" s="261" t="s">
        <v>306</v>
      </c>
      <c r="E75" s="494"/>
      <c r="F75" s="254"/>
      <c r="G75" s="497"/>
      <c r="H75" s="262"/>
      <c r="I75" s="263"/>
      <c r="J75" s="500"/>
    </row>
    <row r="76" spans="2:10">
      <c r="B76" s="323" t="s">
        <v>189</v>
      </c>
      <c r="C76" s="202" t="s">
        <v>272</v>
      </c>
      <c r="D76" s="261" t="s">
        <v>306</v>
      </c>
      <c r="E76" s="494"/>
      <c r="F76" s="254"/>
      <c r="G76" s="497"/>
      <c r="H76" s="262"/>
      <c r="I76" s="263"/>
      <c r="J76" s="500"/>
    </row>
    <row r="77" spans="2:10">
      <c r="B77" s="323" t="s">
        <v>189</v>
      </c>
      <c r="C77" s="202" t="s">
        <v>272</v>
      </c>
      <c r="D77" s="261" t="s">
        <v>306</v>
      </c>
      <c r="E77" s="494"/>
      <c r="F77" s="254"/>
      <c r="G77" s="497"/>
      <c r="H77" s="262"/>
      <c r="I77" s="263"/>
      <c r="J77" s="500"/>
    </row>
    <row r="78" spans="2:10">
      <c r="B78" s="323" t="s">
        <v>189</v>
      </c>
      <c r="C78" s="202" t="s">
        <v>272</v>
      </c>
      <c r="D78" s="261" t="s">
        <v>306</v>
      </c>
      <c r="E78" s="494"/>
      <c r="F78" s="254"/>
      <c r="G78" s="497"/>
      <c r="H78" s="262"/>
      <c r="I78" s="263"/>
      <c r="J78" s="500"/>
    </row>
    <row r="79" spans="2:10">
      <c r="B79" s="323" t="s">
        <v>189</v>
      </c>
      <c r="C79" s="202" t="s">
        <v>272</v>
      </c>
      <c r="D79" s="261" t="s">
        <v>306</v>
      </c>
      <c r="E79" s="494"/>
      <c r="F79" s="254"/>
      <c r="G79" s="497"/>
      <c r="H79" s="262"/>
      <c r="I79" s="263"/>
      <c r="J79" s="500"/>
    </row>
    <row r="80" spans="2:10">
      <c r="B80" s="323" t="s">
        <v>189</v>
      </c>
      <c r="C80" s="203" t="s">
        <v>269</v>
      </c>
      <c r="D80" s="528" t="s">
        <v>404</v>
      </c>
      <c r="E80" s="503">
        <v>8.3000000000000004E-2</v>
      </c>
      <c r="F80" s="502" t="s">
        <v>194</v>
      </c>
      <c r="G80" s="504">
        <v>0.6</v>
      </c>
      <c r="H80" s="505">
        <v>45183</v>
      </c>
      <c r="I80" s="506">
        <v>46357</v>
      </c>
      <c r="J80" s="507" t="s">
        <v>374</v>
      </c>
    </row>
    <row r="81" spans="2:10">
      <c r="B81" s="323" t="s">
        <v>189</v>
      </c>
      <c r="C81" s="203" t="s">
        <v>269</v>
      </c>
      <c r="D81" s="528" t="s">
        <v>403</v>
      </c>
      <c r="E81" s="503">
        <v>0.22</v>
      </c>
      <c r="F81" s="502" t="s">
        <v>194</v>
      </c>
      <c r="G81" s="504">
        <v>0.6</v>
      </c>
      <c r="H81" s="505">
        <v>45183</v>
      </c>
      <c r="I81" s="506">
        <v>46357</v>
      </c>
      <c r="J81" s="507" t="s">
        <v>374</v>
      </c>
    </row>
    <row r="82" spans="2:10">
      <c r="B82" s="323" t="s">
        <v>189</v>
      </c>
      <c r="C82" s="203" t="s">
        <v>269</v>
      </c>
      <c r="D82" s="261" t="s">
        <v>306</v>
      </c>
      <c r="E82" s="494"/>
      <c r="F82" s="254"/>
      <c r="G82" s="497"/>
      <c r="H82" s="262"/>
      <c r="I82" s="263"/>
      <c r="J82" s="500"/>
    </row>
    <row r="83" spans="2:10">
      <c r="B83" s="323" t="s">
        <v>189</v>
      </c>
      <c r="C83" s="203" t="s">
        <v>269</v>
      </c>
      <c r="D83" s="261" t="s">
        <v>306</v>
      </c>
      <c r="E83" s="494"/>
      <c r="F83" s="254"/>
      <c r="G83" s="497"/>
      <c r="H83" s="262"/>
      <c r="I83" s="263"/>
      <c r="J83" s="500"/>
    </row>
    <row r="84" spans="2:10">
      <c r="B84" s="323" t="s">
        <v>189</v>
      </c>
      <c r="C84" s="203" t="s">
        <v>269</v>
      </c>
      <c r="D84" s="261" t="s">
        <v>306</v>
      </c>
      <c r="E84" s="494"/>
      <c r="F84" s="254"/>
      <c r="G84" s="497"/>
      <c r="H84" s="262"/>
      <c r="I84" s="263"/>
      <c r="J84" s="500"/>
    </row>
    <row r="85" spans="2:10">
      <c r="B85" s="323" t="s">
        <v>189</v>
      </c>
      <c r="C85" s="203" t="s">
        <v>269</v>
      </c>
      <c r="D85" s="261" t="s">
        <v>306</v>
      </c>
      <c r="E85" s="494"/>
      <c r="F85" s="254"/>
      <c r="G85" s="497"/>
      <c r="H85" s="262"/>
      <c r="I85" s="263"/>
      <c r="J85" s="500"/>
    </row>
    <row r="86" spans="2:10">
      <c r="B86" s="323" t="s">
        <v>189</v>
      </c>
      <c r="C86" s="203" t="s">
        <v>269</v>
      </c>
      <c r="D86" s="261" t="s">
        <v>306</v>
      </c>
      <c r="E86" s="494"/>
      <c r="F86" s="254"/>
      <c r="G86" s="497"/>
      <c r="H86" s="262"/>
      <c r="I86" s="263"/>
      <c r="J86" s="500"/>
    </row>
    <row r="87" spans="2:10">
      <c r="B87" s="323" t="s">
        <v>189</v>
      </c>
      <c r="C87" s="204" t="s">
        <v>270</v>
      </c>
      <c r="D87" s="529" t="s">
        <v>406</v>
      </c>
      <c r="E87" s="526">
        <v>7.4999999999999997E-3</v>
      </c>
      <c r="F87" s="502" t="s">
        <v>195</v>
      </c>
      <c r="G87" s="504">
        <v>0.2</v>
      </c>
      <c r="H87" s="505">
        <v>43181</v>
      </c>
      <c r="I87" s="506">
        <v>45383</v>
      </c>
      <c r="J87" s="507" t="s">
        <v>374</v>
      </c>
    </row>
    <row r="88" spans="2:10">
      <c r="B88" s="323" t="s">
        <v>189</v>
      </c>
      <c r="C88" s="204" t="s">
        <v>270</v>
      </c>
      <c r="D88" s="529" t="s">
        <v>28</v>
      </c>
      <c r="E88" s="526">
        <v>2.8999999999999998E-3</v>
      </c>
      <c r="F88" s="502" t="s">
        <v>195</v>
      </c>
      <c r="G88" s="504">
        <v>0.2</v>
      </c>
      <c r="H88" s="505">
        <v>43181</v>
      </c>
      <c r="I88" s="506">
        <v>45627</v>
      </c>
      <c r="J88" s="507" t="s">
        <v>374</v>
      </c>
    </row>
    <row r="89" spans="2:10">
      <c r="B89" s="323" t="s">
        <v>189</v>
      </c>
      <c r="C89" s="204" t="s">
        <v>270</v>
      </c>
      <c r="D89" s="529" t="s">
        <v>405</v>
      </c>
      <c r="E89" s="526">
        <v>2.7699999999999999E-2</v>
      </c>
      <c r="F89" s="502" t="s">
        <v>195</v>
      </c>
      <c r="G89" s="504">
        <v>0.6</v>
      </c>
      <c r="H89" s="505">
        <v>43181</v>
      </c>
      <c r="I89" s="506">
        <v>45627</v>
      </c>
      <c r="J89" s="507" t="s">
        <v>374</v>
      </c>
    </row>
    <row r="90" spans="2:10">
      <c r="B90" s="323" t="s">
        <v>189</v>
      </c>
      <c r="C90" s="204" t="s">
        <v>270</v>
      </c>
      <c r="D90" s="529" t="s">
        <v>45</v>
      </c>
      <c r="E90" s="503">
        <v>6.6799999999999998E-2</v>
      </c>
      <c r="F90" s="502" t="s">
        <v>195</v>
      </c>
      <c r="G90" s="504">
        <v>0.2</v>
      </c>
      <c r="H90" s="505">
        <v>42085</v>
      </c>
      <c r="I90" s="506">
        <v>43070</v>
      </c>
      <c r="J90" s="507" t="s">
        <v>374</v>
      </c>
    </row>
    <row r="91" spans="2:10">
      <c r="B91" s="323" t="s">
        <v>189</v>
      </c>
      <c r="C91" s="204" t="s">
        <v>270</v>
      </c>
      <c r="D91" s="529" t="s">
        <v>46</v>
      </c>
      <c r="E91" s="503">
        <v>4.8399999999999999E-2</v>
      </c>
      <c r="F91" s="502" t="s">
        <v>195</v>
      </c>
      <c r="G91" s="504">
        <v>0.2</v>
      </c>
      <c r="H91" s="505">
        <v>42085</v>
      </c>
      <c r="I91" s="506">
        <v>43070</v>
      </c>
      <c r="J91" s="507" t="s">
        <v>374</v>
      </c>
    </row>
    <row r="92" spans="2:10">
      <c r="B92" s="323" t="s">
        <v>189</v>
      </c>
      <c r="C92" s="204" t="s">
        <v>270</v>
      </c>
      <c r="D92" s="529" t="s">
        <v>16</v>
      </c>
      <c r="E92" s="503">
        <v>5.1400000000000001E-2</v>
      </c>
      <c r="F92" s="502" t="s">
        <v>195</v>
      </c>
      <c r="G92" s="504">
        <v>0.2</v>
      </c>
      <c r="H92" s="505">
        <v>42085</v>
      </c>
      <c r="I92" s="506">
        <v>43070</v>
      </c>
      <c r="J92" s="507" t="s">
        <v>374</v>
      </c>
    </row>
    <row r="93" spans="2:10">
      <c r="B93" s="323" t="s">
        <v>189</v>
      </c>
      <c r="C93" s="204" t="s">
        <v>270</v>
      </c>
      <c r="D93" s="529" t="s">
        <v>6</v>
      </c>
      <c r="E93" s="503">
        <v>3.1699999999999999E-2</v>
      </c>
      <c r="F93" s="502" t="s">
        <v>195</v>
      </c>
      <c r="G93" s="504">
        <v>0.2</v>
      </c>
      <c r="H93" s="505">
        <v>42085</v>
      </c>
      <c r="I93" s="506">
        <v>43070</v>
      </c>
      <c r="J93" s="507" t="s">
        <v>374</v>
      </c>
    </row>
    <row r="94" spans="2:10">
      <c r="B94" s="323" t="s">
        <v>189</v>
      </c>
      <c r="C94" s="204" t="s">
        <v>270</v>
      </c>
      <c r="D94" s="529" t="s">
        <v>21</v>
      </c>
      <c r="E94" s="503">
        <v>3.9699999999999999E-2</v>
      </c>
      <c r="F94" s="502" t="s">
        <v>195</v>
      </c>
      <c r="G94" s="504">
        <v>0.2</v>
      </c>
      <c r="H94" s="505">
        <v>42085</v>
      </c>
      <c r="I94" s="506">
        <v>43070</v>
      </c>
      <c r="J94" s="507" t="s">
        <v>374</v>
      </c>
    </row>
    <row r="95" spans="2:10">
      <c r="B95" s="323" t="s">
        <v>189</v>
      </c>
      <c r="C95" s="204" t="s">
        <v>270</v>
      </c>
      <c r="D95" s="529" t="s">
        <v>44</v>
      </c>
      <c r="E95" s="503">
        <v>7.4999999999999997E-2</v>
      </c>
      <c r="F95" s="502" t="s">
        <v>195</v>
      </c>
      <c r="G95" s="504">
        <v>0.2</v>
      </c>
      <c r="H95" s="505">
        <v>42085</v>
      </c>
      <c r="I95" s="506">
        <v>43070</v>
      </c>
      <c r="J95" s="507" t="s">
        <v>374</v>
      </c>
    </row>
    <row r="96" spans="2:10">
      <c r="B96" s="323" t="s">
        <v>189</v>
      </c>
      <c r="C96" s="204" t="s">
        <v>270</v>
      </c>
      <c r="D96" s="529" t="s">
        <v>0</v>
      </c>
      <c r="E96" s="526">
        <v>3.7399999999999998E-3</v>
      </c>
      <c r="F96" s="502" t="s">
        <v>195</v>
      </c>
      <c r="G96" s="504">
        <v>0.2</v>
      </c>
      <c r="H96" s="505">
        <v>42085</v>
      </c>
      <c r="I96" s="506">
        <v>43070</v>
      </c>
      <c r="J96" s="507" t="s">
        <v>374</v>
      </c>
    </row>
    <row r="97" spans="2:10">
      <c r="B97" s="323" t="s">
        <v>189</v>
      </c>
      <c r="C97" s="204" t="s">
        <v>270</v>
      </c>
      <c r="D97" s="261" t="s">
        <v>306</v>
      </c>
      <c r="E97" s="495"/>
      <c r="F97" s="254"/>
      <c r="G97" s="497"/>
      <c r="H97" s="262"/>
      <c r="I97" s="263"/>
      <c r="J97" s="500"/>
    </row>
    <row r="98" spans="2:10">
      <c r="B98" s="323" t="s">
        <v>189</v>
      </c>
      <c r="C98" s="204" t="s">
        <v>270</v>
      </c>
      <c r="D98" s="261" t="s">
        <v>306</v>
      </c>
      <c r="E98" s="495"/>
      <c r="F98" s="254"/>
      <c r="G98" s="497"/>
      <c r="H98" s="262"/>
      <c r="I98" s="263"/>
      <c r="J98" s="500"/>
    </row>
    <row r="99" spans="2:10">
      <c r="B99" s="323" t="s">
        <v>189</v>
      </c>
      <c r="C99" s="204" t="s">
        <v>270</v>
      </c>
      <c r="D99" s="261" t="s">
        <v>306</v>
      </c>
      <c r="E99" s="495"/>
      <c r="F99" s="254"/>
      <c r="G99" s="497"/>
      <c r="H99" s="262"/>
      <c r="I99" s="263"/>
      <c r="J99" s="500"/>
    </row>
    <row r="100" spans="2:10">
      <c r="B100" s="323" t="s">
        <v>189</v>
      </c>
      <c r="C100" s="204" t="s">
        <v>270</v>
      </c>
      <c r="D100" s="261" t="s">
        <v>306</v>
      </c>
      <c r="E100" s="495"/>
      <c r="F100" s="254"/>
      <c r="G100" s="497"/>
      <c r="H100" s="262"/>
      <c r="I100" s="263"/>
      <c r="J100" s="500"/>
    </row>
    <row r="101" spans="2:10">
      <c r="B101" s="323" t="s">
        <v>189</v>
      </c>
      <c r="C101" s="204" t="s">
        <v>270</v>
      </c>
      <c r="D101" s="261" t="s">
        <v>306</v>
      </c>
      <c r="E101" s="495"/>
      <c r="F101" s="254"/>
      <c r="G101" s="497"/>
      <c r="H101" s="262"/>
      <c r="I101" s="263"/>
      <c r="J101" s="500"/>
    </row>
    <row r="102" spans="2:10">
      <c r="B102" s="323" t="s">
        <v>189</v>
      </c>
      <c r="C102" s="205" t="s">
        <v>271</v>
      </c>
      <c r="D102" s="528" t="s">
        <v>407</v>
      </c>
      <c r="E102" s="530">
        <v>0.24</v>
      </c>
      <c r="F102" s="502" t="s">
        <v>195</v>
      </c>
      <c r="G102" s="504">
        <v>0.7</v>
      </c>
      <c r="H102" s="505">
        <v>43101</v>
      </c>
      <c r="I102" s="506">
        <v>46357</v>
      </c>
      <c r="J102" s="507" t="s">
        <v>374</v>
      </c>
    </row>
    <row r="103" spans="2:10">
      <c r="B103" s="323" t="s">
        <v>189</v>
      </c>
      <c r="C103" s="205" t="s">
        <v>271</v>
      </c>
      <c r="D103" s="528" t="s">
        <v>408</v>
      </c>
      <c r="E103" s="530">
        <v>0.13</v>
      </c>
      <c r="F103" s="502" t="s">
        <v>195</v>
      </c>
      <c r="G103" s="504">
        <v>0.1</v>
      </c>
      <c r="H103" s="505">
        <v>43101</v>
      </c>
      <c r="I103" s="506">
        <v>46357</v>
      </c>
      <c r="J103" s="507" t="s">
        <v>374</v>
      </c>
    </row>
    <row r="104" spans="2:10">
      <c r="B104" s="323" t="s">
        <v>189</v>
      </c>
      <c r="C104" s="205" t="s">
        <v>271</v>
      </c>
      <c r="D104" s="528" t="s">
        <v>410</v>
      </c>
      <c r="E104" s="530">
        <v>0.15</v>
      </c>
      <c r="F104" s="502" t="s">
        <v>195</v>
      </c>
      <c r="G104" s="504">
        <v>0.7</v>
      </c>
      <c r="H104" s="505">
        <v>43101</v>
      </c>
      <c r="I104" s="506">
        <v>46357</v>
      </c>
      <c r="J104" s="507" t="s">
        <v>374</v>
      </c>
    </row>
    <row r="105" spans="2:10">
      <c r="B105" s="323" t="s">
        <v>189</v>
      </c>
      <c r="C105" s="205" t="s">
        <v>271</v>
      </c>
      <c r="D105" s="528" t="s">
        <v>411</v>
      </c>
      <c r="E105" s="530">
        <v>0.33</v>
      </c>
      <c r="F105" s="502" t="s">
        <v>195</v>
      </c>
      <c r="G105" s="504">
        <v>0.7</v>
      </c>
      <c r="H105" s="505">
        <v>43101</v>
      </c>
      <c r="I105" s="506">
        <v>46357</v>
      </c>
      <c r="J105" s="507" t="s">
        <v>374</v>
      </c>
    </row>
    <row r="106" spans="2:10">
      <c r="B106" s="323" t="s">
        <v>189</v>
      </c>
      <c r="C106" s="205" t="s">
        <v>271</v>
      </c>
      <c r="D106" s="528" t="s">
        <v>409</v>
      </c>
      <c r="E106" s="530">
        <v>0.18</v>
      </c>
      <c r="F106" s="502" t="s">
        <v>195</v>
      </c>
      <c r="G106" s="504">
        <v>0.1</v>
      </c>
      <c r="H106" s="505">
        <v>43101</v>
      </c>
      <c r="I106" s="506">
        <v>46357</v>
      </c>
      <c r="J106" s="507" t="s">
        <v>374</v>
      </c>
    </row>
    <row r="107" spans="2:10">
      <c r="B107" s="323" t="s">
        <v>189</v>
      </c>
      <c r="C107" s="205" t="s">
        <v>271</v>
      </c>
      <c r="D107" s="528" t="s">
        <v>458</v>
      </c>
      <c r="E107" s="494">
        <v>0.17</v>
      </c>
      <c r="F107" s="254" t="s">
        <v>195</v>
      </c>
      <c r="G107" s="497">
        <v>0.7</v>
      </c>
      <c r="H107" s="262"/>
      <c r="I107" s="263">
        <v>46357</v>
      </c>
      <c r="J107" s="500" t="s">
        <v>374</v>
      </c>
    </row>
    <row r="108" spans="2:10">
      <c r="B108" s="323" t="s">
        <v>189</v>
      </c>
      <c r="C108" s="205" t="s">
        <v>271</v>
      </c>
      <c r="D108" s="261" t="s">
        <v>306</v>
      </c>
      <c r="E108" s="494"/>
      <c r="F108" s="254"/>
      <c r="G108" s="497"/>
      <c r="H108" s="262"/>
      <c r="I108" s="263"/>
      <c r="J108" s="500"/>
    </row>
    <row r="109" spans="2:10">
      <c r="B109" s="333" t="s">
        <v>263</v>
      </c>
      <c r="C109" s="206" t="s">
        <v>77</v>
      </c>
      <c r="D109" s="502" t="s">
        <v>169</v>
      </c>
      <c r="E109" s="503">
        <v>2210</v>
      </c>
      <c r="F109" s="502" t="s">
        <v>196</v>
      </c>
      <c r="G109" s="504">
        <v>0.1</v>
      </c>
      <c r="H109" s="505">
        <v>43181</v>
      </c>
      <c r="I109" s="506">
        <v>44531</v>
      </c>
      <c r="J109" s="507" t="s">
        <v>374</v>
      </c>
    </row>
    <row r="110" spans="2:10">
      <c r="B110" s="333" t="s">
        <v>263</v>
      </c>
      <c r="C110" s="206" t="s">
        <v>77</v>
      </c>
      <c r="D110" s="502" t="s">
        <v>170</v>
      </c>
      <c r="E110" s="503">
        <v>938</v>
      </c>
      <c r="F110" s="502" t="s">
        <v>196</v>
      </c>
      <c r="G110" s="504">
        <v>0.1</v>
      </c>
      <c r="H110" s="505">
        <v>43181</v>
      </c>
      <c r="I110" s="506">
        <v>44531</v>
      </c>
      <c r="J110" s="507" t="s">
        <v>374</v>
      </c>
    </row>
    <row r="111" spans="2:10">
      <c r="B111" s="333" t="s">
        <v>263</v>
      </c>
      <c r="C111" s="206" t="s">
        <v>77</v>
      </c>
      <c r="D111" s="502" t="s">
        <v>171</v>
      </c>
      <c r="E111" s="503">
        <v>7800</v>
      </c>
      <c r="F111" s="502" t="s">
        <v>196</v>
      </c>
      <c r="G111" s="504">
        <v>0.3</v>
      </c>
      <c r="H111" s="505">
        <v>43181</v>
      </c>
      <c r="I111" s="506">
        <v>44531</v>
      </c>
      <c r="J111" s="507" t="s">
        <v>374</v>
      </c>
    </row>
    <row r="112" spans="2:10">
      <c r="B112" s="333" t="s">
        <v>263</v>
      </c>
      <c r="C112" s="206" t="s">
        <v>77</v>
      </c>
      <c r="D112" s="502" t="s">
        <v>172</v>
      </c>
      <c r="E112" s="503">
        <v>562</v>
      </c>
      <c r="F112" s="502" t="s">
        <v>196</v>
      </c>
      <c r="G112" s="504">
        <v>0.3</v>
      </c>
      <c r="H112" s="505">
        <v>43181</v>
      </c>
      <c r="I112" s="506">
        <v>44531</v>
      </c>
      <c r="J112" s="507" t="s">
        <v>374</v>
      </c>
    </row>
    <row r="113" spans="2:10">
      <c r="B113" s="333" t="s">
        <v>263</v>
      </c>
      <c r="C113" s="206" t="s">
        <v>77</v>
      </c>
      <c r="D113" s="502" t="s">
        <v>413</v>
      </c>
      <c r="E113" s="503">
        <v>1450</v>
      </c>
      <c r="F113" s="502" t="s">
        <v>196</v>
      </c>
      <c r="G113" s="504">
        <v>0.5</v>
      </c>
      <c r="H113" s="505">
        <v>43181</v>
      </c>
      <c r="I113" s="506">
        <v>44531</v>
      </c>
      <c r="J113" s="507" t="s">
        <v>374</v>
      </c>
    </row>
    <row r="114" spans="2:10">
      <c r="B114" s="333" t="s">
        <v>263</v>
      </c>
      <c r="C114" s="206" t="s">
        <v>77</v>
      </c>
      <c r="D114" s="502" t="s">
        <v>414</v>
      </c>
      <c r="E114" s="503">
        <v>2930</v>
      </c>
      <c r="F114" s="502" t="s">
        <v>196</v>
      </c>
      <c r="G114" s="504">
        <v>0.3</v>
      </c>
      <c r="H114" s="505">
        <v>43181</v>
      </c>
      <c r="I114" s="506">
        <v>43435</v>
      </c>
      <c r="J114" s="507" t="s">
        <v>374</v>
      </c>
    </row>
    <row r="115" spans="2:10">
      <c r="B115" s="333" t="s">
        <v>263</v>
      </c>
      <c r="C115" s="206" t="s">
        <v>77</v>
      </c>
      <c r="D115" s="502" t="s">
        <v>412</v>
      </c>
      <c r="E115" s="503">
        <v>1300</v>
      </c>
      <c r="F115" s="502" t="s">
        <v>196</v>
      </c>
      <c r="G115" s="504">
        <v>0.5</v>
      </c>
      <c r="H115" s="505">
        <v>43181</v>
      </c>
      <c r="I115" s="506">
        <v>44531</v>
      </c>
      <c r="J115" s="507" t="s">
        <v>374</v>
      </c>
    </row>
    <row r="116" spans="2:10">
      <c r="B116" s="333" t="s">
        <v>263</v>
      </c>
      <c r="C116" s="206" t="s">
        <v>77</v>
      </c>
      <c r="D116" s="502" t="s">
        <v>173</v>
      </c>
      <c r="E116" s="503">
        <v>2090</v>
      </c>
      <c r="F116" s="502" t="s">
        <v>196</v>
      </c>
      <c r="G116" s="504">
        <v>0.3</v>
      </c>
      <c r="H116" s="505">
        <v>43181</v>
      </c>
      <c r="I116" s="506">
        <v>43435</v>
      </c>
      <c r="J116" s="507" t="s">
        <v>374</v>
      </c>
    </row>
    <row r="117" spans="2:10">
      <c r="B117" s="333" t="s">
        <v>263</v>
      </c>
      <c r="C117" s="206" t="s">
        <v>77</v>
      </c>
      <c r="D117" s="261" t="s">
        <v>306</v>
      </c>
      <c r="E117" s="494"/>
      <c r="F117" s="254"/>
      <c r="G117" s="497"/>
      <c r="H117" s="262"/>
      <c r="I117" s="263"/>
      <c r="J117" s="500"/>
    </row>
    <row r="118" spans="2:10">
      <c r="B118" s="333" t="s">
        <v>263</v>
      </c>
      <c r="C118" s="206" t="s">
        <v>77</v>
      </c>
      <c r="D118" s="261" t="s">
        <v>306</v>
      </c>
      <c r="E118" s="494"/>
      <c r="F118" s="254"/>
      <c r="G118" s="497"/>
      <c r="H118" s="262"/>
      <c r="I118" s="263"/>
      <c r="J118" s="500"/>
    </row>
    <row r="119" spans="2:10">
      <c r="B119" s="333" t="s">
        <v>263</v>
      </c>
      <c r="C119" s="206" t="s">
        <v>77</v>
      </c>
      <c r="D119" s="261" t="s">
        <v>306</v>
      </c>
      <c r="E119" s="494"/>
      <c r="F119" s="254"/>
      <c r="G119" s="497"/>
      <c r="H119" s="262"/>
      <c r="I119" s="263"/>
      <c r="J119" s="500"/>
    </row>
    <row r="120" spans="2:10">
      <c r="B120" s="333" t="s">
        <v>263</v>
      </c>
      <c r="C120" s="206" t="s">
        <v>77</v>
      </c>
      <c r="D120" s="261" t="s">
        <v>306</v>
      </c>
      <c r="E120" s="494"/>
      <c r="F120" s="254"/>
      <c r="G120" s="497"/>
      <c r="H120" s="262"/>
      <c r="I120" s="263"/>
      <c r="J120" s="500"/>
    </row>
    <row r="121" spans="2:10">
      <c r="B121" s="333" t="s">
        <v>263</v>
      </c>
      <c r="C121" s="206" t="s">
        <v>77</v>
      </c>
      <c r="D121" s="261" t="s">
        <v>306</v>
      </c>
      <c r="E121" s="494"/>
      <c r="F121" s="254"/>
      <c r="G121" s="497"/>
      <c r="H121" s="262"/>
      <c r="I121" s="263"/>
      <c r="J121" s="500"/>
    </row>
    <row r="122" spans="2:10">
      <c r="B122" s="333" t="s">
        <v>263</v>
      </c>
      <c r="C122" s="207" t="s">
        <v>224</v>
      </c>
      <c r="D122" s="502" t="s">
        <v>415</v>
      </c>
      <c r="E122" s="503">
        <v>2380</v>
      </c>
      <c r="F122" s="502" t="s">
        <v>196</v>
      </c>
      <c r="G122" s="504">
        <v>0.2</v>
      </c>
      <c r="H122" s="505">
        <v>42085</v>
      </c>
      <c r="I122" s="506">
        <v>43070</v>
      </c>
      <c r="J122" s="507" t="s">
        <v>374</v>
      </c>
    </row>
    <row r="123" spans="2:10">
      <c r="B123" s="333" t="s">
        <v>263</v>
      </c>
      <c r="C123" s="207" t="s">
        <v>224</v>
      </c>
      <c r="D123" s="261" t="s">
        <v>306</v>
      </c>
      <c r="E123" s="494"/>
      <c r="F123" s="254"/>
      <c r="G123" s="497"/>
      <c r="H123" s="262"/>
      <c r="I123" s="263"/>
      <c r="J123" s="500"/>
    </row>
    <row r="124" spans="2:10">
      <c r="B124" s="333" t="s">
        <v>263</v>
      </c>
      <c r="C124" s="207" t="s">
        <v>224</v>
      </c>
      <c r="D124" s="261" t="s">
        <v>306</v>
      </c>
      <c r="E124" s="494"/>
      <c r="F124" s="254"/>
      <c r="G124" s="497"/>
      <c r="H124" s="262"/>
      <c r="I124" s="263"/>
      <c r="J124" s="500"/>
    </row>
    <row r="125" spans="2:10">
      <c r="B125" s="333" t="s">
        <v>263</v>
      </c>
      <c r="C125" s="207" t="s">
        <v>224</v>
      </c>
      <c r="D125" s="261" t="s">
        <v>306</v>
      </c>
      <c r="E125" s="494"/>
      <c r="F125" s="254"/>
      <c r="G125" s="497"/>
      <c r="H125" s="262"/>
      <c r="I125" s="263"/>
      <c r="J125" s="500"/>
    </row>
    <row r="126" spans="2:10">
      <c r="B126" s="333" t="s">
        <v>263</v>
      </c>
      <c r="C126" s="207" t="s">
        <v>224</v>
      </c>
      <c r="D126" s="261" t="s">
        <v>306</v>
      </c>
      <c r="E126" s="494"/>
      <c r="F126" s="254"/>
      <c r="G126" s="497"/>
      <c r="H126" s="262"/>
      <c r="I126" s="263"/>
      <c r="J126" s="500"/>
    </row>
    <row r="127" spans="2:10">
      <c r="B127" s="333" t="s">
        <v>263</v>
      </c>
      <c r="C127" s="207" t="s">
        <v>224</v>
      </c>
      <c r="D127" s="261" t="s">
        <v>306</v>
      </c>
      <c r="E127" s="494"/>
      <c r="F127" s="254"/>
      <c r="G127" s="497"/>
      <c r="H127" s="262"/>
      <c r="I127" s="263"/>
      <c r="J127" s="500"/>
    </row>
    <row r="128" spans="2:10">
      <c r="B128" s="333" t="s">
        <v>263</v>
      </c>
      <c r="C128" s="208" t="s">
        <v>225</v>
      </c>
      <c r="D128" s="502" t="s">
        <v>197</v>
      </c>
      <c r="E128" s="503">
        <v>810</v>
      </c>
      <c r="F128" s="502" t="s">
        <v>196</v>
      </c>
      <c r="G128" s="504">
        <v>0.5</v>
      </c>
      <c r="H128" s="505">
        <v>42085</v>
      </c>
      <c r="I128" s="506">
        <v>43070</v>
      </c>
      <c r="J128" s="507" t="s">
        <v>374</v>
      </c>
    </row>
    <row r="129" spans="2:10">
      <c r="B129" s="333" t="s">
        <v>263</v>
      </c>
      <c r="C129" s="208" t="s">
        <v>225</v>
      </c>
      <c r="D129" s="261" t="s">
        <v>306</v>
      </c>
      <c r="E129" s="494"/>
      <c r="F129" s="254"/>
      <c r="G129" s="497"/>
      <c r="H129" s="262"/>
      <c r="I129" s="263"/>
      <c r="J129" s="500"/>
    </row>
    <row r="130" spans="2:10">
      <c r="B130" s="333" t="s">
        <v>263</v>
      </c>
      <c r="C130" s="208" t="s">
        <v>225</v>
      </c>
      <c r="D130" s="261" t="s">
        <v>306</v>
      </c>
      <c r="E130" s="494"/>
      <c r="F130" s="254"/>
      <c r="G130" s="497"/>
      <c r="H130" s="262"/>
      <c r="I130" s="263"/>
      <c r="J130" s="500"/>
    </row>
    <row r="131" spans="2:10">
      <c r="B131" s="333" t="s">
        <v>263</v>
      </c>
      <c r="C131" s="208" t="s">
        <v>225</v>
      </c>
      <c r="D131" s="261" t="s">
        <v>306</v>
      </c>
      <c r="E131" s="494"/>
      <c r="F131" s="254"/>
      <c r="G131" s="497"/>
      <c r="H131" s="262"/>
      <c r="I131" s="263"/>
      <c r="J131" s="500"/>
    </row>
    <row r="132" spans="2:10">
      <c r="B132" s="333" t="s">
        <v>263</v>
      </c>
      <c r="C132" s="208" t="s">
        <v>225</v>
      </c>
      <c r="D132" s="261" t="s">
        <v>306</v>
      </c>
      <c r="E132" s="494"/>
      <c r="F132" s="254"/>
      <c r="G132" s="497"/>
      <c r="H132" s="262"/>
      <c r="I132" s="263"/>
      <c r="J132" s="500"/>
    </row>
    <row r="133" spans="2:10">
      <c r="B133" s="333" t="s">
        <v>263</v>
      </c>
      <c r="C133" s="208" t="s">
        <v>225</v>
      </c>
      <c r="D133" s="261" t="s">
        <v>306</v>
      </c>
      <c r="E133" s="494"/>
      <c r="F133" s="254"/>
      <c r="G133" s="497"/>
      <c r="H133" s="262"/>
      <c r="I133" s="263"/>
      <c r="J133" s="500"/>
    </row>
    <row r="134" spans="2:10">
      <c r="B134" s="333" t="s">
        <v>263</v>
      </c>
      <c r="C134" s="209" t="s">
        <v>226</v>
      </c>
      <c r="D134" s="502" t="s">
        <v>416</v>
      </c>
      <c r="E134" s="503">
        <v>390</v>
      </c>
      <c r="F134" s="502" t="s">
        <v>196</v>
      </c>
      <c r="G134" s="504">
        <v>0.2</v>
      </c>
      <c r="H134" s="505">
        <v>43354</v>
      </c>
      <c r="I134" s="506">
        <v>44531</v>
      </c>
      <c r="J134" s="507" t="s">
        <v>374</v>
      </c>
    </row>
    <row r="135" spans="2:10">
      <c r="B135" s="333" t="s">
        <v>263</v>
      </c>
      <c r="C135" s="209" t="s">
        <v>226</v>
      </c>
      <c r="D135" s="531" t="s">
        <v>417</v>
      </c>
      <c r="E135" s="503">
        <f>0.92*1000</f>
        <v>920</v>
      </c>
      <c r="F135" s="502" t="s">
        <v>196</v>
      </c>
      <c r="G135" s="504"/>
      <c r="H135" s="505">
        <v>42258</v>
      </c>
      <c r="I135" s="506">
        <v>43435</v>
      </c>
      <c r="J135" s="507" t="s">
        <v>374</v>
      </c>
    </row>
    <row r="136" spans="2:10">
      <c r="B136" s="333" t="s">
        <v>263</v>
      </c>
      <c r="C136" s="209" t="s">
        <v>226</v>
      </c>
      <c r="D136" s="261" t="s">
        <v>306</v>
      </c>
      <c r="E136" s="494"/>
      <c r="F136" s="254"/>
      <c r="G136" s="497"/>
      <c r="H136" s="262"/>
      <c r="I136" s="263"/>
      <c r="J136" s="500"/>
    </row>
    <row r="137" spans="2:10">
      <c r="B137" s="333" t="s">
        <v>263</v>
      </c>
      <c r="C137" s="209" t="s">
        <v>226</v>
      </c>
      <c r="D137" s="261" t="s">
        <v>306</v>
      </c>
      <c r="E137" s="494"/>
      <c r="F137" s="254"/>
      <c r="G137" s="497"/>
      <c r="H137" s="262"/>
      <c r="I137" s="263"/>
      <c r="J137" s="500"/>
    </row>
    <row r="138" spans="2:10">
      <c r="B138" s="333" t="s">
        <v>263</v>
      </c>
      <c r="C138" s="209" t="s">
        <v>226</v>
      </c>
      <c r="D138" s="261" t="s">
        <v>306</v>
      </c>
      <c r="E138" s="494"/>
      <c r="F138" s="254"/>
      <c r="G138" s="497"/>
      <c r="H138" s="262"/>
      <c r="I138" s="263"/>
      <c r="J138" s="500"/>
    </row>
    <row r="139" spans="2:10">
      <c r="B139" s="333" t="s">
        <v>263</v>
      </c>
      <c r="C139" s="209" t="s">
        <v>226</v>
      </c>
      <c r="D139" s="261" t="s">
        <v>306</v>
      </c>
      <c r="E139" s="494"/>
      <c r="F139" s="254"/>
      <c r="G139" s="497"/>
      <c r="H139" s="262"/>
      <c r="I139" s="263"/>
      <c r="J139" s="500"/>
    </row>
    <row r="140" spans="2:10">
      <c r="B140" s="333" t="s">
        <v>263</v>
      </c>
      <c r="C140" s="209" t="s">
        <v>226</v>
      </c>
      <c r="D140" s="261" t="s">
        <v>306</v>
      </c>
      <c r="E140" s="494"/>
      <c r="F140" s="254"/>
      <c r="G140" s="497"/>
      <c r="H140" s="262"/>
      <c r="I140" s="263"/>
      <c r="J140" s="500"/>
    </row>
    <row r="141" spans="2:10">
      <c r="B141" s="333" t="s">
        <v>263</v>
      </c>
      <c r="C141" s="210" t="s">
        <v>227</v>
      </c>
      <c r="D141" s="502" t="s">
        <v>198</v>
      </c>
      <c r="E141" s="503">
        <v>9100</v>
      </c>
      <c r="F141" s="502" t="s">
        <v>233</v>
      </c>
      <c r="G141" s="504">
        <v>0.5</v>
      </c>
      <c r="H141" s="505">
        <v>43354</v>
      </c>
      <c r="I141" s="506">
        <v>43435</v>
      </c>
      <c r="J141" s="507" t="s">
        <v>374</v>
      </c>
    </row>
    <row r="142" spans="2:10">
      <c r="B142" s="333" t="s">
        <v>263</v>
      </c>
      <c r="C142" s="210" t="s">
        <v>227</v>
      </c>
      <c r="D142" s="502" t="s">
        <v>51</v>
      </c>
      <c r="E142" s="503">
        <v>587</v>
      </c>
      <c r="F142" s="502" t="s">
        <v>196</v>
      </c>
      <c r="G142" s="504">
        <v>0.5</v>
      </c>
      <c r="H142" s="505">
        <v>43354</v>
      </c>
      <c r="I142" s="506">
        <v>43435</v>
      </c>
      <c r="J142" s="507" t="s">
        <v>374</v>
      </c>
    </row>
    <row r="143" spans="2:10">
      <c r="B143" s="333" t="s">
        <v>263</v>
      </c>
      <c r="C143" s="210" t="s">
        <v>227</v>
      </c>
      <c r="D143" s="502" t="s">
        <v>72</v>
      </c>
      <c r="E143" s="503">
        <v>148</v>
      </c>
      <c r="F143" s="502" t="s">
        <v>196</v>
      </c>
      <c r="G143" s="504">
        <v>0.5</v>
      </c>
      <c r="H143" s="505">
        <v>43354</v>
      </c>
      <c r="I143" s="506">
        <v>43435</v>
      </c>
      <c r="J143" s="507" t="s">
        <v>374</v>
      </c>
    </row>
    <row r="144" spans="2:10">
      <c r="B144" s="333" t="s">
        <v>263</v>
      </c>
      <c r="C144" s="210" t="s">
        <v>227</v>
      </c>
      <c r="D144" s="502" t="s">
        <v>199</v>
      </c>
      <c r="E144" s="503">
        <v>1200</v>
      </c>
      <c r="F144" s="502" t="s">
        <v>196</v>
      </c>
      <c r="G144" s="504">
        <v>0.5</v>
      </c>
      <c r="H144" s="505">
        <v>43354</v>
      </c>
      <c r="I144" s="506">
        <v>43435</v>
      </c>
      <c r="J144" s="507" t="s">
        <v>374</v>
      </c>
    </row>
    <row r="145" spans="2:10">
      <c r="B145" s="333" t="s">
        <v>263</v>
      </c>
      <c r="C145" s="210" t="s">
        <v>227</v>
      </c>
      <c r="D145" s="261" t="s">
        <v>306</v>
      </c>
      <c r="E145" s="494"/>
      <c r="F145" s="254"/>
      <c r="G145" s="497"/>
      <c r="H145" s="262"/>
      <c r="I145" s="263"/>
      <c r="J145" s="500"/>
    </row>
    <row r="146" spans="2:10">
      <c r="B146" s="333" t="s">
        <v>263</v>
      </c>
      <c r="C146" s="210" t="s">
        <v>227</v>
      </c>
      <c r="D146" s="261" t="s">
        <v>306</v>
      </c>
      <c r="E146" s="494"/>
      <c r="F146" s="254"/>
      <c r="G146" s="497"/>
      <c r="H146" s="262"/>
      <c r="I146" s="263"/>
      <c r="J146" s="500"/>
    </row>
    <row r="147" spans="2:10">
      <c r="B147" s="333" t="s">
        <v>263</v>
      </c>
      <c r="C147" s="210" t="s">
        <v>227</v>
      </c>
      <c r="D147" s="261" t="s">
        <v>306</v>
      </c>
      <c r="E147" s="494"/>
      <c r="F147" s="254"/>
      <c r="G147" s="497"/>
      <c r="H147" s="262"/>
      <c r="I147" s="263"/>
      <c r="J147" s="500"/>
    </row>
    <row r="148" spans="2:10">
      <c r="B148" s="333" t="s">
        <v>263</v>
      </c>
      <c r="C148" s="210" t="s">
        <v>227</v>
      </c>
      <c r="D148" s="261" t="s">
        <v>306</v>
      </c>
      <c r="E148" s="494"/>
      <c r="F148" s="254"/>
      <c r="G148" s="497"/>
      <c r="H148" s="262"/>
      <c r="I148" s="263"/>
      <c r="J148" s="500"/>
    </row>
    <row r="149" spans="2:10">
      <c r="B149" s="333" t="s">
        <v>263</v>
      </c>
      <c r="C149" s="210" t="s">
        <v>227</v>
      </c>
      <c r="D149" s="261" t="s">
        <v>306</v>
      </c>
      <c r="E149" s="494"/>
      <c r="F149" s="254"/>
      <c r="G149" s="497"/>
      <c r="H149" s="262"/>
      <c r="I149" s="263"/>
      <c r="J149" s="500"/>
    </row>
    <row r="150" spans="2:10">
      <c r="B150" s="333" t="s">
        <v>263</v>
      </c>
      <c r="C150" s="207" t="s">
        <v>319</v>
      </c>
      <c r="D150" s="502" t="s">
        <v>336</v>
      </c>
      <c r="E150" s="503">
        <v>70</v>
      </c>
      <c r="F150" s="502" t="s">
        <v>341</v>
      </c>
      <c r="G150" s="504">
        <v>0.8</v>
      </c>
      <c r="H150" s="505">
        <v>45201</v>
      </c>
      <c r="I150" s="506">
        <v>46143</v>
      </c>
      <c r="J150" s="507" t="s">
        <v>374</v>
      </c>
    </row>
    <row r="151" spans="2:10">
      <c r="B151" s="333" t="s">
        <v>263</v>
      </c>
      <c r="C151" s="207" t="s">
        <v>319</v>
      </c>
      <c r="D151" s="502" t="s">
        <v>337</v>
      </c>
      <c r="E151" s="503">
        <v>112</v>
      </c>
      <c r="F151" s="502" t="s">
        <v>341</v>
      </c>
      <c r="G151" s="504">
        <v>0.8</v>
      </c>
      <c r="H151" s="505">
        <v>45201</v>
      </c>
      <c r="I151" s="506">
        <v>46143</v>
      </c>
      <c r="J151" s="507" t="s">
        <v>374</v>
      </c>
    </row>
    <row r="152" spans="2:10">
      <c r="B152" s="333" t="s">
        <v>263</v>
      </c>
      <c r="C152" s="207" t="s">
        <v>319</v>
      </c>
      <c r="D152" s="502" t="s">
        <v>338</v>
      </c>
      <c r="E152" s="503">
        <v>136</v>
      </c>
      <c r="F152" s="502" t="s">
        <v>341</v>
      </c>
      <c r="G152" s="504">
        <v>0.8</v>
      </c>
      <c r="H152" s="505">
        <v>45201</v>
      </c>
      <c r="I152" s="506">
        <v>46143</v>
      </c>
      <c r="J152" s="507" t="s">
        <v>374</v>
      </c>
    </row>
    <row r="153" spans="2:10">
      <c r="B153" s="333" t="s">
        <v>263</v>
      </c>
      <c r="C153" s="207" t="s">
        <v>319</v>
      </c>
      <c r="D153" s="502" t="s">
        <v>419</v>
      </c>
      <c r="E153" s="503">
        <v>110</v>
      </c>
      <c r="F153" s="502" t="s">
        <v>341</v>
      </c>
      <c r="G153" s="504">
        <v>0.8</v>
      </c>
      <c r="H153" s="505">
        <v>45201</v>
      </c>
      <c r="I153" s="506">
        <v>46143</v>
      </c>
      <c r="J153" s="507" t="s">
        <v>374</v>
      </c>
    </row>
    <row r="154" spans="2:10">
      <c r="B154" s="333" t="s">
        <v>263</v>
      </c>
      <c r="C154" s="207" t="s">
        <v>319</v>
      </c>
      <c r="D154" s="502" t="s">
        <v>339</v>
      </c>
      <c r="E154" s="503">
        <v>196</v>
      </c>
      <c r="F154" s="502" t="s">
        <v>341</v>
      </c>
      <c r="G154" s="504">
        <v>0.8</v>
      </c>
      <c r="H154" s="505">
        <v>45201</v>
      </c>
      <c r="I154" s="506">
        <v>46143</v>
      </c>
      <c r="J154" s="507" t="s">
        <v>374</v>
      </c>
    </row>
    <row r="155" spans="2:10">
      <c r="B155" s="333" t="s">
        <v>263</v>
      </c>
      <c r="C155" s="207" t="s">
        <v>319</v>
      </c>
      <c r="D155" s="502" t="s">
        <v>418</v>
      </c>
      <c r="E155" s="503">
        <v>113</v>
      </c>
      <c r="F155" s="502" t="s">
        <v>341</v>
      </c>
      <c r="G155" s="504">
        <v>0.8</v>
      </c>
      <c r="H155" s="505">
        <v>45201</v>
      </c>
      <c r="I155" s="506">
        <v>46143</v>
      </c>
      <c r="J155" s="507" t="s">
        <v>374</v>
      </c>
    </row>
    <row r="156" spans="2:10">
      <c r="B156" s="333" t="s">
        <v>263</v>
      </c>
      <c r="C156" s="207" t="s">
        <v>319</v>
      </c>
      <c r="D156" s="502" t="s">
        <v>340</v>
      </c>
      <c r="E156" s="503">
        <v>250</v>
      </c>
      <c r="F156" s="502" t="s">
        <v>341</v>
      </c>
      <c r="G156" s="504">
        <v>0.8</v>
      </c>
      <c r="H156" s="505">
        <v>45201</v>
      </c>
      <c r="I156" s="506">
        <v>46143</v>
      </c>
      <c r="J156" s="507" t="s">
        <v>374</v>
      </c>
    </row>
    <row r="157" spans="2:10">
      <c r="B157" s="333" t="s">
        <v>263</v>
      </c>
      <c r="C157" s="207" t="s">
        <v>319</v>
      </c>
      <c r="D157" s="502" t="s">
        <v>420</v>
      </c>
      <c r="E157" s="503">
        <v>210</v>
      </c>
      <c r="F157" s="502" t="s">
        <v>341</v>
      </c>
      <c r="G157" s="504">
        <v>0.8</v>
      </c>
      <c r="H157" s="505">
        <v>45201</v>
      </c>
      <c r="I157" s="506">
        <v>46143</v>
      </c>
      <c r="J157" s="507" t="s">
        <v>374</v>
      </c>
    </row>
    <row r="158" spans="2:10">
      <c r="B158" s="333" t="s">
        <v>263</v>
      </c>
      <c r="C158" s="207" t="s">
        <v>319</v>
      </c>
      <c r="D158" s="541" t="s">
        <v>456</v>
      </c>
      <c r="E158" s="179">
        <f>8.4</f>
        <v>8.4</v>
      </c>
      <c r="F158" s="541" t="s">
        <v>341</v>
      </c>
      <c r="G158" s="542"/>
      <c r="H158" s="543"/>
      <c r="I158" s="544"/>
      <c r="J158" s="545"/>
    </row>
    <row r="159" spans="2:10">
      <c r="B159" s="333" t="s">
        <v>263</v>
      </c>
      <c r="C159" s="207" t="s">
        <v>319</v>
      </c>
      <c r="D159" s="541" t="s">
        <v>457</v>
      </c>
      <c r="E159" s="179">
        <f>29.1</f>
        <v>29.1</v>
      </c>
      <c r="F159" s="541" t="s">
        <v>341</v>
      </c>
      <c r="G159" s="542"/>
      <c r="H159" s="543"/>
      <c r="I159" s="544"/>
      <c r="J159" s="545"/>
    </row>
    <row r="160" spans="2:10">
      <c r="B160" s="333" t="s">
        <v>263</v>
      </c>
      <c r="C160" s="207" t="s">
        <v>319</v>
      </c>
      <c r="D160" s="261" t="s">
        <v>306</v>
      </c>
      <c r="E160" s="494"/>
      <c r="F160" s="254"/>
      <c r="G160" s="497"/>
      <c r="H160" s="262"/>
      <c r="I160" s="263"/>
      <c r="J160" s="500"/>
    </row>
    <row r="161" spans="2:10">
      <c r="B161" s="333" t="s">
        <v>263</v>
      </c>
      <c r="C161" s="207" t="s">
        <v>319</v>
      </c>
      <c r="D161" s="261" t="s">
        <v>306</v>
      </c>
      <c r="E161" s="494"/>
      <c r="F161" s="254"/>
      <c r="G161" s="497"/>
      <c r="H161" s="262"/>
      <c r="I161" s="263"/>
      <c r="J161" s="500"/>
    </row>
    <row r="162" spans="2:10">
      <c r="B162" s="345" t="s">
        <v>81</v>
      </c>
      <c r="C162" s="291" t="s">
        <v>350</v>
      </c>
      <c r="D162" s="502" t="s">
        <v>200</v>
      </c>
      <c r="E162" s="503">
        <v>1914</v>
      </c>
      <c r="F162" s="502" t="s">
        <v>196</v>
      </c>
      <c r="G162" s="504">
        <v>0.5</v>
      </c>
      <c r="H162" s="505">
        <v>43354</v>
      </c>
      <c r="I162" s="506">
        <v>43070</v>
      </c>
      <c r="J162" s="507" t="s">
        <v>351</v>
      </c>
    </row>
    <row r="163" spans="2:10">
      <c r="B163" s="345" t="s">
        <v>81</v>
      </c>
      <c r="C163" s="291" t="s">
        <v>350</v>
      </c>
      <c r="D163" s="502" t="s">
        <v>65</v>
      </c>
      <c r="E163" s="503">
        <v>3827</v>
      </c>
      <c r="F163" s="502" t="s">
        <v>196</v>
      </c>
      <c r="G163" s="504">
        <v>0.5</v>
      </c>
      <c r="H163" s="505">
        <v>43354</v>
      </c>
      <c r="I163" s="506">
        <v>43070</v>
      </c>
      <c r="J163" s="507" t="s">
        <v>351</v>
      </c>
    </row>
    <row r="164" spans="2:10">
      <c r="B164" s="345" t="s">
        <v>81</v>
      </c>
      <c r="C164" s="291" t="s">
        <v>350</v>
      </c>
      <c r="D164" s="502" t="s">
        <v>202</v>
      </c>
      <c r="E164" s="503">
        <v>55000</v>
      </c>
      <c r="F164" s="502" t="s">
        <v>236</v>
      </c>
      <c r="G164" s="504">
        <v>0.3</v>
      </c>
      <c r="H164" s="505">
        <v>43354</v>
      </c>
      <c r="I164" s="506">
        <v>43466</v>
      </c>
      <c r="J164" s="507" t="s">
        <v>351</v>
      </c>
    </row>
    <row r="165" spans="2:10">
      <c r="B165" s="345" t="s">
        <v>81</v>
      </c>
      <c r="C165" s="291" t="s">
        <v>350</v>
      </c>
      <c r="D165" s="502" t="s">
        <v>203</v>
      </c>
      <c r="E165" s="503">
        <v>7360</v>
      </c>
      <c r="F165" s="502" t="s">
        <v>235</v>
      </c>
      <c r="G165" s="504">
        <v>0.3</v>
      </c>
      <c r="H165" s="505">
        <v>43354</v>
      </c>
      <c r="I165" s="506">
        <v>43466</v>
      </c>
      <c r="J165" s="507" t="s">
        <v>351</v>
      </c>
    </row>
    <row r="166" spans="2:10">
      <c r="B166" s="345" t="s">
        <v>81</v>
      </c>
      <c r="C166" s="291" t="s">
        <v>350</v>
      </c>
      <c r="D166" s="502" t="s">
        <v>264</v>
      </c>
      <c r="E166" s="503">
        <v>35800</v>
      </c>
      <c r="F166" s="502" t="s">
        <v>235</v>
      </c>
      <c r="G166" s="540">
        <v>0.3</v>
      </c>
      <c r="H166" s="505">
        <v>43354</v>
      </c>
      <c r="I166" s="506">
        <v>43466</v>
      </c>
      <c r="J166" s="507" t="s">
        <v>351</v>
      </c>
    </row>
    <row r="167" spans="2:10">
      <c r="B167" s="345" t="s">
        <v>81</v>
      </c>
      <c r="C167" s="291" t="s">
        <v>350</v>
      </c>
      <c r="D167" s="502" t="s">
        <v>204</v>
      </c>
      <c r="E167" s="503">
        <v>20500</v>
      </c>
      <c r="F167" s="502" t="s">
        <v>235</v>
      </c>
      <c r="G167" s="504">
        <v>0.3</v>
      </c>
      <c r="H167" s="505">
        <v>43354</v>
      </c>
      <c r="I167" s="506">
        <v>43466</v>
      </c>
      <c r="J167" s="507" t="s">
        <v>351</v>
      </c>
    </row>
    <row r="168" spans="2:10">
      <c r="B168" s="345" t="s">
        <v>81</v>
      </c>
      <c r="C168" s="291" t="s">
        <v>350</v>
      </c>
      <c r="D168" s="502" t="s">
        <v>205</v>
      </c>
      <c r="E168" s="503">
        <v>2029.9999999999998</v>
      </c>
      <c r="F168" s="502" t="s">
        <v>235</v>
      </c>
      <c r="G168" s="504">
        <v>0.3</v>
      </c>
      <c r="H168" s="505">
        <v>43354</v>
      </c>
      <c r="I168" s="506">
        <v>43466</v>
      </c>
      <c r="J168" s="507" t="s">
        <v>351</v>
      </c>
    </row>
    <row r="169" spans="2:10">
      <c r="B169" s="345" t="s">
        <v>81</v>
      </c>
      <c r="C169" s="291" t="s">
        <v>350</v>
      </c>
      <c r="D169" s="261" t="s">
        <v>306</v>
      </c>
      <c r="E169" s="494"/>
      <c r="F169" s="254"/>
      <c r="G169" s="497"/>
      <c r="H169" s="262"/>
      <c r="I169" s="263"/>
      <c r="J169" s="500"/>
    </row>
    <row r="170" spans="2:10">
      <c r="B170" s="345" t="s">
        <v>81</v>
      </c>
      <c r="C170" s="291" t="s">
        <v>350</v>
      </c>
      <c r="D170" s="261" t="s">
        <v>306</v>
      </c>
      <c r="E170" s="494"/>
      <c r="F170" s="254"/>
      <c r="G170" s="497"/>
      <c r="H170" s="262"/>
      <c r="I170" s="263"/>
      <c r="J170" s="500"/>
    </row>
    <row r="171" spans="2:10">
      <c r="B171" s="345" t="s">
        <v>81</v>
      </c>
      <c r="C171" s="291" t="s">
        <v>350</v>
      </c>
      <c r="D171" s="261" t="s">
        <v>306</v>
      </c>
      <c r="E171" s="494"/>
      <c r="F171" s="254"/>
      <c r="G171" s="497"/>
      <c r="H171" s="262"/>
      <c r="I171" s="263"/>
      <c r="J171" s="500"/>
    </row>
    <row r="172" spans="2:10">
      <c r="B172" s="345" t="s">
        <v>81</v>
      </c>
      <c r="C172" s="291" t="s">
        <v>350</v>
      </c>
      <c r="D172" s="261" t="s">
        <v>306</v>
      </c>
      <c r="E172" s="494"/>
      <c r="F172" s="254"/>
      <c r="G172" s="497"/>
      <c r="H172" s="262"/>
      <c r="I172" s="263"/>
      <c r="J172" s="500"/>
    </row>
    <row r="173" spans="2:10">
      <c r="B173" s="345" t="s">
        <v>81</v>
      </c>
      <c r="C173" s="291" t="s">
        <v>350</v>
      </c>
      <c r="D173" s="261" t="s">
        <v>306</v>
      </c>
      <c r="E173" s="494"/>
      <c r="F173" s="254"/>
      <c r="G173" s="497"/>
      <c r="H173" s="262"/>
      <c r="I173" s="263"/>
      <c r="J173" s="500"/>
    </row>
    <row r="174" spans="2:10">
      <c r="B174" s="345" t="s">
        <v>81</v>
      </c>
      <c r="C174" s="292" t="s">
        <v>349</v>
      </c>
      <c r="D174" s="502" t="s">
        <v>201</v>
      </c>
      <c r="E174" s="503">
        <v>9490</v>
      </c>
      <c r="F174" s="502" t="s">
        <v>196</v>
      </c>
      <c r="G174" s="504">
        <v>0.3</v>
      </c>
      <c r="H174" s="505">
        <v>43354</v>
      </c>
      <c r="I174" s="506">
        <v>43466</v>
      </c>
      <c r="J174" s="507" t="s">
        <v>351</v>
      </c>
    </row>
    <row r="175" spans="2:10">
      <c r="B175" s="345" t="s">
        <v>81</v>
      </c>
      <c r="C175" s="292" t="s">
        <v>349</v>
      </c>
      <c r="D175" s="502" t="s">
        <v>206</v>
      </c>
      <c r="E175" s="503">
        <v>5600</v>
      </c>
      <c r="F175" s="502" t="s">
        <v>196</v>
      </c>
      <c r="G175" s="504">
        <v>0.3</v>
      </c>
      <c r="H175" s="505">
        <v>43354</v>
      </c>
      <c r="I175" s="506">
        <v>43466</v>
      </c>
      <c r="J175" s="507" t="s">
        <v>351</v>
      </c>
    </row>
    <row r="176" spans="2:10">
      <c r="B176" s="345" t="s">
        <v>81</v>
      </c>
      <c r="C176" s="292" t="s">
        <v>349</v>
      </c>
      <c r="D176" s="502" t="s">
        <v>265</v>
      </c>
      <c r="E176" s="503">
        <v>4800</v>
      </c>
      <c r="F176" s="502" t="s">
        <v>196</v>
      </c>
      <c r="G176" s="504">
        <v>0.3</v>
      </c>
      <c r="H176" s="505">
        <v>43354</v>
      </c>
      <c r="I176" s="506">
        <v>43466</v>
      </c>
      <c r="J176" s="507" t="s">
        <v>351</v>
      </c>
    </row>
    <row r="177" spans="2:10">
      <c r="B177" s="345" t="s">
        <v>81</v>
      </c>
      <c r="C177" s="292" t="s">
        <v>349</v>
      </c>
      <c r="D177" s="502" t="s">
        <v>207</v>
      </c>
      <c r="E177" s="503">
        <v>3610</v>
      </c>
      <c r="F177" s="502" t="s">
        <v>196</v>
      </c>
      <c r="G177" s="504">
        <v>0.3</v>
      </c>
      <c r="H177" s="505">
        <v>43354</v>
      </c>
      <c r="I177" s="506">
        <v>43466</v>
      </c>
      <c r="J177" s="507" t="s">
        <v>351</v>
      </c>
    </row>
    <row r="178" spans="2:10">
      <c r="B178" s="345" t="s">
        <v>81</v>
      </c>
      <c r="C178" s="292" t="s">
        <v>349</v>
      </c>
      <c r="D178" s="502" t="s">
        <v>234</v>
      </c>
      <c r="E178" s="503">
        <v>2880</v>
      </c>
      <c r="F178" s="502" t="s">
        <v>236</v>
      </c>
      <c r="G178" s="504">
        <v>0.3</v>
      </c>
      <c r="H178" s="505">
        <v>43354</v>
      </c>
      <c r="I178" s="506">
        <v>43466</v>
      </c>
      <c r="J178" s="507" t="s">
        <v>351</v>
      </c>
    </row>
    <row r="179" spans="2:10">
      <c r="B179" s="345" t="s">
        <v>81</v>
      </c>
      <c r="C179" s="292" t="s">
        <v>349</v>
      </c>
      <c r="D179" s="502" t="s">
        <v>208</v>
      </c>
      <c r="E179" s="503">
        <v>1520</v>
      </c>
      <c r="F179" s="502" t="s">
        <v>196</v>
      </c>
      <c r="G179" s="504">
        <v>0.3</v>
      </c>
      <c r="H179" s="505">
        <v>43354</v>
      </c>
      <c r="I179" s="506">
        <v>43466</v>
      </c>
      <c r="J179" s="507" t="s">
        <v>351</v>
      </c>
    </row>
    <row r="180" spans="2:10">
      <c r="B180" s="345" t="s">
        <v>81</v>
      </c>
      <c r="C180" s="292" t="s">
        <v>349</v>
      </c>
      <c r="D180" s="502" t="s">
        <v>209</v>
      </c>
      <c r="E180" s="503">
        <v>701</v>
      </c>
      <c r="F180" s="502" t="s">
        <v>196</v>
      </c>
      <c r="G180" s="504">
        <v>0.3</v>
      </c>
      <c r="H180" s="505">
        <v>43354</v>
      </c>
      <c r="I180" s="506">
        <v>43466</v>
      </c>
      <c r="J180" s="507" t="s">
        <v>351</v>
      </c>
    </row>
    <row r="181" spans="2:10">
      <c r="B181" s="345" t="s">
        <v>81</v>
      </c>
      <c r="C181" s="292" t="s">
        <v>349</v>
      </c>
      <c r="D181" s="502" t="s">
        <v>126</v>
      </c>
      <c r="E181" s="503">
        <v>1620</v>
      </c>
      <c r="F181" s="502" t="s">
        <v>196</v>
      </c>
      <c r="G181" s="504">
        <v>0.3</v>
      </c>
      <c r="H181" s="505">
        <v>43354</v>
      </c>
      <c r="I181" s="506">
        <v>43466</v>
      </c>
      <c r="J181" s="507" t="s">
        <v>351</v>
      </c>
    </row>
    <row r="182" spans="2:10">
      <c r="B182" s="345" t="s">
        <v>81</v>
      </c>
      <c r="C182" s="292" t="s">
        <v>349</v>
      </c>
      <c r="D182" s="502" t="s">
        <v>210</v>
      </c>
      <c r="E182" s="503">
        <v>2600</v>
      </c>
      <c r="F182" s="502" t="s">
        <v>196</v>
      </c>
      <c r="G182" s="504">
        <v>0.3</v>
      </c>
      <c r="H182" s="505">
        <v>43354</v>
      </c>
      <c r="I182" s="506">
        <v>43466</v>
      </c>
      <c r="J182" s="507" t="s">
        <v>351</v>
      </c>
    </row>
    <row r="183" spans="2:10">
      <c r="B183" s="345" t="s">
        <v>81</v>
      </c>
      <c r="C183" s="292" t="s">
        <v>349</v>
      </c>
      <c r="D183" s="502" t="s">
        <v>211</v>
      </c>
      <c r="E183" s="503">
        <v>1220</v>
      </c>
      <c r="F183" s="502" t="s">
        <v>196</v>
      </c>
      <c r="G183" s="504">
        <v>0.3</v>
      </c>
      <c r="H183" s="505">
        <v>43354</v>
      </c>
      <c r="I183" s="506">
        <v>43466</v>
      </c>
      <c r="J183" s="507" t="s">
        <v>351</v>
      </c>
    </row>
    <row r="184" spans="2:10">
      <c r="B184" s="345" t="s">
        <v>81</v>
      </c>
      <c r="C184" s="292" t="s">
        <v>349</v>
      </c>
      <c r="D184" s="502" t="s">
        <v>266</v>
      </c>
      <c r="E184" s="503">
        <v>2610</v>
      </c>
      <c r="F184" s="502" t="s">
        <v>196</v>
      </c>
      <c r="G184" s="504">
        <v>0.3</v>
      </c>
      <c r="H184" s="505">
        <v>43354</v>
      </c>
      <c r="I184" s="506">
        <v>43466</v>
      </c>
      <c r="J184" s="507" t="s">
        <v>351</v>
      </c>
    </row>
    <row r="185" spans="2:10">
      <c r="B185" s="345" t="s">
        <v>81</v>
      </c>
      <c r="C185" s="292" t="s">
        <v>349</v>
      </c>
      <c r="D185" s="502" t="s">
        <v>14</v>
      </c>
      <c r="E185" s="503">
        <v>1170</v>
      </c>
      <c r="F185" s="502" t="s">
        <v>196</v>
      </c>
      <c r="G185" s="504">
        <v>0.3</v>
      </c>
      <c r="H185" s="505">
        <v>43354</v>
      </c>
      <c r="I185" s="506">
        <v>43466</v>
      </c>
      <c r="J185" s="507" t="s">
        <v>351</v>
      </c>
    </row>
    <row r="186" spans="2:10">
      <c r="B186" s="345" t="s">
        <v>81</v>
      </c>
      <c r="C186" s="292" t="s">
        <v>349</v>
      </c>
      <c r="D186" s="502" t="s">
        <v>212</v>
      </c>
      <c r="E186" s="503">
        <v>1280</v>
      </c>
      <c r="F186" s="502" t="s">
        <v>196</v>
      </c>
      <c r="G186" s="504">
        <v>0.3</v>
      </c>
      <c r="H186" s="505">
        <v>43354</v>
      </c>
      <c r="I186" s="506">
        <v>43466</v>
      </c>
      <c r="J186" s="507" t="s">
        <v>351</v>
      </c>
    </row>
    <row r="187" spans="2:10">
      <c r="B187" s="345" t="s">
        <v>81</v>
      </c>
      <c r="C187" s="292" t="s">
        <v>349</v>
      </c>
      <c r="D187" s="502" t="s">
        <v>213</v>
      </c>
      <c r="E187" s="503">
        <v>682</v>
      </c>
      <c r="F187" s="502" t="s">
        <v>196</v>
      </c>
      <c r="G187" s="504">
        <v>0.3</v>
      </c>
      <c r="H187" s="505">
        <v>43354</v>
      </c>
      <c r="I187" s="506">
        <v>43466</v>
      </c>
      <c r="J187" s="507" t="s">
        <v>351</v>
      </c>
    </row>
    <row r="188" spans="2:10">
      <c r="B188" s="345" t="s">
        <v>81</v>
      </c>
      <c r="C188" s="292" t="s">
        <v>349</v>
      </c>
      <c r="D188" s="261" t="s">
        <v>306</v>
      </c>
      <c r="E188" s="494"/>
      <c r="F188" s="254"/>
      <c r="G188" s="497"/>
      <c r="H188" s="262"/>
      <c r="I188" s="263"/>
      <c r="J188" s="500"/>
    </row>
    <row r="189" spans="2:10">
      <c r="B189" s="345" t="s">
        <v>81</v>
      </c>
      <c r="C189" s="292" t="s">
        <v>349</v>
      </c>
      <c r="D189" s="261" t="s">
        <v>306</v>
      </c>
      <c r="E189" s="494"/>
      <c r="F189" s="254"/>
      <c r="G189" s="497"/>
      <c r="H189" s="262"/>
      <c r="I189" s="263"/>
      <c r="J189" s="500"/>
    </row>
    <row r="190" spans="2:10">
      <c r="B190" s="345" t="s">
        <v>81</v>
      </c>
      <c r="C190" s="293" t="s">
        <v>322</v>
      </c>
      <c r="D190" s="502" t="s">
        <v>451</v>
      </c>
      <c r="E190" s="503">
        <v>0.49</v>
      </c>
      <c r="F190" s="502" t="s">
        <v>214</v>
      </c>
      <c r="G190" s="504">
        <v>0.3</v>
      </c>
      <c r="H190" s="505">
        <v>43375</v>
      </c>
      <c r="I190" s="506">
        <v>46357</v>
      </c>
      <c r="J190" s="507" t="s">
        <v>374</v>
      </c>
    </row>
    <row r="191" spans="2:10">
      <c r="B191" s="345" t="s">
        <v>81</v>
      </c>
      <c r="C191" s="293" t="s">
        <v>322</v>
      </c>
      <c r="D191" s="502" t="s">
        <v>453</v>
      </c>
      <c r="E191" s="503">
        <v>1.35</v>
      </c>
      <c r="F191" s="502" t="s">
        <v>214</v>
      </c>
      <c r="G191" s="504">
        <v>0.3</v>
      </c>
      <c r="H191" s="505">
        <v>43375</v>
      </c>
      <c r="I191" s="506">
        <v>46357</v>
      </c>
      <c r="J191" s="507" t="s">
        <v>374</v>
      </c>
    </row>
    <row r="192" spans="2:10">
      <c r="B192" s="345" t="s">
        <v>81</v>
      </c>
      <c r="C192" s="293" t="s">
        <v>322</v>
      </c>
      <c r="D192" s="502" t="s">
        <v>450</v>
      </c>
      <c r="E192" s="503">
        <v>0.41</v>
      </c>
      <c r="F192" s="502" t="s">
        <v>214</v>
      </c>
      <c r="G192" s="504">
        <v>0.3</v>
      </c>
      <c r="H192" s="505">
        <v>43375</v>
      </c>
      <c r="I192" s="506">
        <v>46357</v>
      </c>
      <c r="J192" s="507" t="s">
        <v>374</v>
      </c>
    </row>
    <row r="193" spans="2:10">
      <c r="B193" s="345" t="s">
        <v>81</v>
      </c>
      <c r="C193" s="293" t="s">
        <v>322</v>
      </c>
      <c r="D193" s="502" t="s">
        <v>455</v>
      </c>
      <c r="E193" s="503">
        <v>0.32</v>
      </c>
      <c r="F193" s="502" t="s">
        <v>214</v>
      </c>
      <c r="G193" s="504">
        <v>0.3</v>
      </c>
      <c r="H193" s="505">
        <v>43375</v>
      </c>
      <c r="I193" s="506">
        <v>46357</v>
      </c>
      <c r="J193" s="507" t="s">
        <v>374</v>
      </c>
    </row>
    <row r="194" spans="2:10">
      <c r="B194" s="345" t="s">
        <v>81</v>
      </c>
      <c r="C194" s="293" t="s">
        <v>322</v>
      </c>
      <c r="D194" s="502" t="s">
        <v>454</v>
      </c>
      <c r="E194" s="503">
        <v>3.4200000000000002E-4</v>
      </c>
      <c r="F194" s="502" t="s">
        <v>214</v>
      </c>
      <c r="G194" s="504">
        <v>0.3</v>
      </c>
      <c r="H194" s="505">
        <v>43375</v>
      </c>
      <c r="I194" s="506">
        <v>46357</v>
      </c>
      <c r="J194" s="507" t="s">
        <v>374</v>
      </c>
    </row>
    <row r="195" spans="2:10">
      <c r="B195" s="345" t="s">
        <v>81</v>
      </c>
      <c r="C195" s="293" t="s">
        <v>322</v>
      </c>
      <c r="D195" s="502" t="s">
        <v>452</v>
      </c>
      <c r="E195" s="503">
        <v>1.53</v>
      </c>
      <c r="F195" s="502" t="s">
        <v>214</v>
      </c>
      <c r="G195" s="504">
        <v>0.3</v>
      </c>
      <c r="H195" s="505">
        <v>43375</v>
      </c>
      <c r="I195" s="506">
        <v>46357</v>
      </c>
      <c r="J195" s="507" t="s">
        <v>374</v>
      </c>
    </row>
    <row r="196" spans="2:10">
      <c r="B196" s="345" t="s">
        <v>81</v>
      </c>
      <c r="C196" s="293" t="s">
        <v>322</v>
      </c>
      <c r="D196" s="261" t="s">
        <v>306</v>
      </c>
      <c r="E196" s="494"/>
      <c r="F196" s="254"/>
      <c r="G196" s="497"/>
      <c r="H196" s="262"/>
      <c r="I196" s="263"/>
      <c r="J196" s="500"/>
    </row>
    <row r="197" spans="2:10">
      <c r="B197" s="345" t="s">
        <v>81</v>
      </c>
      <c r="C197" s="293" t="s">
        <v>322</v>
      </c>
      <c r="D197" s="261" t="s">
        <v>306</v>
      </c>
      <c r="E197" s="494"/>
      <c r="F197" s="254"/>
      <c r="G197" s="497"/>
      <c r="H197" s="262"/>
      <c r="I197" s="263"/>
      <c r="J197" s="500"/>
    </row>
    <row r="198" spans="2:10">
      <c r="B198" s="345" t="s">
        <v>81</v>
      </c>
      <c r="C198" s="293" t="s">
        <v>322</v>
      </c>
      <c r="D198" s="261" t="s">
        <v>306</v>
      </c>
      <c r="E198" s="494"/>
      <c r="F198" s="254"/>
      <c r="G198" s="497"/>
      <c r="H198" s="262"/>
      <c r="I198" s="263"/>
      <c r="J198" s="500"/>
    </row>
    <row r="199" spans="2:10">
      <c r="B199" s="345" t="s">
        <v>81</v>
      </c>
      <c r="C199" s="293" t="s">
        <v>322</v>
      </c>
      <c r="D199" s="261" t="s">
        <v>306</v>
      </c>
      <c r="E199" s="494"/>
      <c r="F199" s="254"/>
      <c r="G199" s="497"/>
      <c r="H199" s="262"/>
      <c r="I199" s="263"/>
      <c r="J199" s="500"/>
    </row>
    <row r="200" spans="2:10">
      <c r="B200" s="345" t="s">
        <v>81</v>
      </c>
      <c r="C200" s="293" t="s">
        <v>322</v>
      </c>
      <c r="D200" s="261" t="s">
        <v>306</v>
      </c>
      <c r="E200" s="494"/>
      <c r="F200" s="254"/>
      <c r="G200" s="497"/>
      <c r="H200" s="262"/>
      <c r="I200" s="263"/>
      <c r="J200" s="500"/>
    </row>
    <row r="201" spans="2:10">
      <c r="B201" s="345" t="s">
        <v>81</v>
      </c>
      <c r="C201" s="342" t="s">
        <v>229</v>
      </c>
      <c r="D201" s="502" t="s">
        <v>180</v>
      </c>
      <c r="E201" s="179">
        <v>2.04</v>
      </c>
      <c r="F201" s="541" t="s">
        <v>215</v>
      </c>
      <c r="G201" s="542">
        <v>0.5</v>
      </c>
      <c r="H201" s="543"/>
      <c r="I201" s="544">
        <v>44531</v>
      </c>
      <c r="J201" s="545" t="s">
        <v>374</v>
      </c>
    </row>
    <row r="202" spans="2:10">
      <c r="B202" s="345" t="s">
        <v>81</v>
      </c>
      <c r="C202" s="342" t="s">
        <v>229</v>
      </c>
      <c r="D202" s="502" t="s">
        <v>181</v>
      </c>
      <c r="E202" s="503">
        <v>0.51</v>
      </c>
      <c r="F202" s="502" t="s">
        <v>215</v>
      </c>
      <c r="G202" s="504">
        <v>0.5</v>
      </c>
      <c r="H202" s="505">
        <v>43354</v>
      </c>
      <c r="I202" s="506">
        <v>44531</v>
      </c>
      <c r="J202" s="507" t="s">
        <v>374</v>
      </c>
    </row>
    <row r="203" spans="2:10">
      <c r="B203" s="345" t="s">
        <v>81</v>
      </c>
      <c r="C203" s="342" t="s">
        <v>229</v>
      </c>
      <c r="D203" s="502" t="s">
        <v>421</v>
      </c>
      <c r="E203" s="503">
        <v>7.26</v>
      </c>
      <c r="F203" s="502" t="s">
        <v>215</v>
      </c>
      <c r="G203" s="504">
        <v>0.5</v>
      </c>
      <c r="H203" s="505">
        <v>43375</v>
      </c>
      <c r="I203" s="506">
        <v>44531</v>
      </c>
      <c r="J203" s="507" t="s">
        <v>374</v>
      </c>
    </row>
    <row r="204" spans="2:10">
      <c r="B204" s="345" t="s">
        <v>81</v>
      </c>
      <c r="C204" s="342" t="s">
        <v>229</v>
      </c>
      <c r="D204" s="502" t="s">
        <v>422</v>
      </c>
      <c r="E204" s="503">
        <v>1.58</v>
      </c>
      <c r="F204" s="502" t="s">
        <v>215</v>
      </c>
      <c r="G204" s="504">
        <v>0.5</v>
      </c>
      <c r="H204" s="505">
        <v>43375</v>
      </c>
      <c r="I204" s="506">
        <v>44531</v>
      </c>
      <c r="J204" s="507" t="s">
        <v>374</v>
      </c>
    </row>
    <row r="205" spans="2:10">
      <c r="B205" s="345" t="s">
        <v>81</v>
      </c>
      <c r="C205" s="342" t="s">
        <v>229</v>
      </c>
      <c r="D205" s="261" t="s">
        <v>306</v>
      </c>
      <c r="E205" s="494"/>
      <c r="F205" s="254"/>
      <c r="G205" s="497"/>
      <c r="H205" s="262"/>
      <c r="I205" s="263"/>
      <c r="J205" s="500"/>
    </row>
    <row r="206" spans="2:10">
      <c r="B206" s="345" t="s">
        <v>81</v>
      </c>
      <c r="C206" s="342" t="s">
        <v>229</v>
      </c>
      <c r="D206" s="261" t="s">
        <v>306</v>
      </c>
      <c r="E206" s="494"/>
      <c r="F206" s="254"/>
      <c r="G206" s="497"/>
      <c r="H206" s="262"/>
      <c r="I206" s="263"/>
      <c r="J206" s="500"/>
    </row>
    <row r="207" spans="2:10">
      <c r="B207" s="345" t="s">
        <v>81</v>
      </c>
      <c r="C207" s="342" t="s">
        <v>229</v>
      </c>
      <c r="D207" s="261" t="s">
        <v>306</v>
      </c>
      <c r="E207" s="494"/>
      <c r="F207" s="254"/>
      <c r="G207" s="497"/>
      <c r="H207" s="262"/>
      <c r="I207" s="263"/>
      <c r="J207" s="500"/>
    </row>
    <row r="208" spans="2:10">
      <c r="B208" s="345" t="s">
        <v>81</v>
      </c>
      <c r="C208" s="342" t="s">
        <v>229</v>
      </c>
      <c r="D208" s="261" t="s">
        <v>306</v>
      </c>
      <c r="E208" s="494"/>
      <c r="F208" s="254"/>
      <c r="G208" s="497"/>
      <c r="H208" s="262"/>
      <c r="I208" s="263"/>
      <c r="J208" s="500"/>
    </row>
    <row r="209" spans="2:10">
      <c r="B209" s="345" t="s">
        <v>81</v>
      </c>
      <c r="C209" s="342" t="s">
        <v>229</v>
      </c>
      <c r="D209" s="261" t="s">
        <v>306</v>
      </c>
      <c r="E209" s="494"/>
      <c r="F209" s="254"/>
      <c r="G209" s="497"/>
      <c r="H209" s="262"/>
      <c r="I209" s="263"/>
      <c r="J209" s="500"/>
    </row>
    <row r="210" spans="2:10">
      <c r="B210" s="346" t="s">
        <v>182</v>
      </c>
      <c r="C210" s="294" t="s">
        <v>230</v>
      </c>
      <c r="D210" s="532" t="s">
        <v>425</v>
      </c>
      <c r="E210" s="503">
        <v>1500</v>
      </c>
      <c r="F210" s="502" t="s">
        <v>196</v>
      </c>
      <c r="G210" s="504">
        <v>0.2</v>
      </c>
      <c r="H210" s="505">
        <v>43354</v>
      </c>
      <c r="I210" s="506">
        <v>44896</v>
      </c>
      <c r="J210" s="507" t="s">
        <v>374</v>
      </c>
    </row>
    <row r="211" spans="2:10">
      <c r="B211" s="346" t="s">
        <v>182</v>
      </c>
      <c r="C211" s="294" t="s">
        <v>230</v>
      </c>
      <c r="D211" s="532" t="s">
        <v>424</v>
      </c>
      <c r="E211" s="179">
        <v>670</v>
      </c>
      <c r="F211" s="502" t="s">
        <v>196</v>
      </c>
      <c r="G211" s="542">
        <v>0.2</v>
      </c>
      <c r="H211" s="505">
        <v>43555</v>
      </c>
      <c r="I211" s="506">
        <v>44896</v>
      </c>
      <c r="J211" s="507" t="s">
        <v>374</v>
      </c>
    </row>
    <row r="212" spans="2:10">
      <c r="B212" s="346" t="s">
        <v>182</v>
      </c>
      <c r="C212" s="294" t="s">
        <v>230</v>
      </c>
      <c r="D212" s="532" t="s">
        <v>423</v>
      </c>
      <c r="E212" s="503">
        <v>47</v>
      </c>
      <c r="F212" s="502" t="s">
        <v>196</v>
      </c>
      <c r="G212" s="504">
        <v>0.3</v>
      </c>
      <c r="H212" s="505">
        <v>42085</v>
      </c>
      <c r="I212" s="506">
        <v>42705</v>
      </c>
      <c r="J212" s="507" t="s">
        <v>374</v>
      </c>
    </row>
    <row r="213" spans="2:10">
      <c r="B213" s="346" t="s">
        <v>182</v>
      </c>
      <c r="C213" s="294" t="s">
        <v>230</v>
      </c>
      <c r="D213" s="532" t="s">
        <v>426</v>
      </c>
      <c r="E213" s="503">
        <v>140</v>
      </c>
      <c r="F213" s="502" t="s">
        <v>196</v>
      </c>
      <c r="G213" s="504">
        <v>0.5</v>
      </c>
      <c r="H213" s="505">
        <v>43357</v>
      </c>
      <c r="I213" s="506">
        <v>45627</v>
      </c>
      <c r="J213" s="507" t="s">
        <v>374</v>
      </c>
    </row>
    <row r="214" spans="2:10">
      <c r="B214" s="346" t="s">
        <v>182</v>
      </c>
      <c r="C214" s="294" t="s">
        <v>230</v>
      </c>
      <c r="D214" s="533" t="s">
        <v>376</v>
      </c>
      <c r="E214" s="534">
        <v>0.26</v>
      </c>
      <c r="F214" s="535" t="s">
        <v>377</v>
      </c>
      <c r="G214" s="536">
        <v>0.2</v>
      </c>
      <c r="H214" s="537">
        <v>43357</v>
      </c>
      <c r="I214" s="538">
        <v>43070</v>
      </c>
      <c r="J214" s="507" t="s">
        <v>374</v>
      </c>
    </row>
    <row r="215" spans="2:10">
      <c r="B215" s="346" t="s">
        <v>182</v>
      </c>
      <c r="C215" s="294" t="s">
        <v>230</v>
      </c>
      <c r="D215" s="261" t="s">
        <v>306</v>
      </c>
      <c r="E215" s="494"/>
      <c r="F215" s="254"/>
      <c r="G215" s="497"/>
      <c r="H215" s="262"/>
      <c r="I215" s="263"/>
      <c r="J215" s="500"/>
    </row>
    <row r="216" spans="2:10">
      <c r="B216" s="346" t="s">
        <v>182</v>
      </c>
      <c r="C216" s="294" t="s">
        <v>230</v>
      </c>
      <c r="D216" s="261" t="s">
        <v>306</v>
      </c>
      <c r="E216" s="494"/>
      <c r="F216" s="254"/>
      <c r="G216" s="497"/>
      <c r="H216" s="262"/>
      <c r="I216" s="263"/>
      <c r="J216" s="500"/>
    </row>
    <row r="217" spans="2:10">
      <c r="B217" s="346" t="s">
        <v>182</v>
      </c>
      <c r="C217" s="294" t="s">
        <v>230</v>
      </c>
      <c r="D217" s="261" t="s">
        <v>306</v>
      </c>
      <c r="E217" s="494"/>
      <c r="F217" s="254"/>
      <c r="G217" s="497"/>
      <c r="H217" s="262"/>
      <c r="I217" s="263"/>
      <c r="J217" s="500"/>
    </row>
    <row r="218" spans="2:10">
      <c r="B218" s="346" t="s">
        <v>182</v>
      </c>
      <c r="C218" s="294" t="s">
        <v>230</v>
      </c>
      <c r="D218" s="261" t="s">
        <v>306</v>
      </c>
      <c r="E218" s="494"/>
      <c r="F218" s="254"/>
      <c r="G218" s="497"/>
      <c r="H218" s="262"/>
      <c r="I218" s="263"/>
      <c r="J218" s="500"/>
    </row>
    <row r="219" spans="2:10">
      <c r="B219" s="211" t="s">
        <v>183</v>
      </c>
      <c r="C219" s="296" t="s">
        <v>47</v>
      </c>
      <c r="D219" s="502" t="s">
        <v>432</v>
      </c>
      <c r="E219" s="503">
        <v>155</v>
      </c>
      <c r="F219" s="502" t="s">
        <v>196</v>
      </c>
      <c r="G219" s="504">
        <v>0.2</v>
      </c>
      <c r="H219" s="505">
        <v>43357</v>
      </c>
      <c r="I219" s="506">
        <v>43070</v>
      </c>
      <c r="J219" s="507" t="s">
        <v>374</v>
      </c>
    </row>
    <row r="220" spans="2:10">
      <c r="B220" s="211" t="s">
        <v>183</v>
      </c>
      <c r="C220" s="296" t="s">
        <v>47</v>
      </c>
      <c r="D220" s="502" t="s">
        <v>216</v>
      </c>
      <c r="E220" s="503">
        <v>656</v>
      </c>
      <c r="F220" s="502" t="s">
        <v>217</v>
      </c>
      <c r="G220" s="504">
        <v>0.5</v>
      </c>
      <c r="H220" s="505">
        <v>42261</v>
      </c>
      <c r="I220" s="506">
        <v>43435</v>
      </c>
      <c r="J220" s="507" t="s">
        <v>374</v>
      </c>
    </row>
    <row r="221" spans="2:10">
      <c r="B221" s="211" t="s">
        <v>183</v>
      </c>
      <c r="C221" s="296" t="s">
        <v>47</v>
      </c>
      <c r="D221" s="502" t="s">
        <v>427</v>
      </c>
      <c r="E221" s="503">
        <v>220</v>
      </c>
      <c r="F221" s="502" t="s">
        <v>217</v>
      </c>
      <c r="G221" s="504">
        <v>0.5</v>
      </c>
      <c r="H221" s="505">
        <v>42261</v>
      </c>
      <c r="I221" s="506">
        <v>43435</v>
      </c>
      <c r="J221" s="507" t="s">
        <v>374</v>
      </c>
    </row>
    <row r="222" spans="2:10">
      <c r="B222" s="211" t="s">
        <v>183</v>
      </c>
      <c r="C222" s="296" t="s">
        <v>47</v>
      </c>
      <c r="D222" s="502" t="s">
        <v>219</v>
      </c>
      <c r="E222" s="503">
        <v>650</v>
      </c>
      <c r="F222" s="539" t="s">
        <v>218</v>
      </c>
      <c r="G222" s="504">
        <v>0.5</v>
      </c>
      <c r="H222" s="505">
        <v>42261</v>
      </c>
      <c r="I222" s="506">
        <v>43070</v>
      </c>
      <c r="J222" s="507" t="s">
        <v>374</v>
      </c>
    </row>
    <row r="223" spans="2:10">
      <c r="B223" s="211" t="s">
        <v>183</v>
      </c>
      <c r="C223" s="296" t="s">
        <v>47</v>
      </c>
      <c r="D223" s="502" t="s">
        <v>220</v>
      </c>
      <c r="E223" s="503">
        <v>440</v>
      </c>
      <c r="F223" s="502" t="s">
        <v>221</v>
      </c>
      <c r="G223" s="504">
        <v>0.5</v>
      </c>
      <c r="H223" s="505">
        <v>42261</v>
      </c>
      <c r="I223" s="506">
        <v>43070</v>
      </c>
      <c r="J223" s="507" t="s">
        <v>374</v>
      </c>
    </row>
    <row r="224" spans="2:10">
      <c r="B224" s="211" t="s">
        <v>183</v>
      </c>
      <c r="C224" s="296" t="s">
        <v>47</v>
      </c>
      <c r="D224" s="502" t="s">
        <v>429</v>
      </c>
      <c r="E224" s="503">
        <v>319</v>
      </c>
      <c r="F224" s="502" t="s">
        <v>221</v>
      </c>
      <c r="G224" s="504">
        <v>0.15</v>
      </c>
      <c r="H224" s="505">
        <v>43357</v>
      </c>
      <c r="I224" s="506">
        <v>44166</v>
      </c>
      <c r="J224" s="507" t="s">
        <v>374</v>
      </c>
    </row>
    <row r="225" spans="2:10">
      <c r="B225" s="211" t="s">
        <v>183</v>
      </c>
      <c r="C225" s="296" t="s">
        <v>47</v>
      </c>
      <c r="D225" s="502" t="s">
        <v>430</v>
      </c>
      <c r="E225" s="503">
        <v>73</v>
      </c>
      <c r="F225" s="502" t="s">
        <v>221</v>
      </c>
      <c r="G225" s="504">
        <v>0.15</v>
      </c>
      <c r="H225" s="505">
        <v>43357</v>
      </c>
      <c r="I225" s="506">
        <v>44166</v>
      </c>
      <c r="J225" s="507" t="s">
        <v>374</v>
      </c>
    </row>
    <row r="226" spans="2:10">
      <c r="B226" s="211" t="s">
        <v>183</v>
      </c>
      <c r="C226" s="296" t="s">
        <v>47</v>
      </c>
      <c r="D226" s="502" t="s">
        <v>431</v>
      </c>
      <c r="E226" s="503">
        <v>165</v>
      </c>
      <c r="F226" s="502" t="s">
        <v>221</v>
      </c>
      <c r="G226" s="504">
        <v>0.15</v>
      </c>
      <c r="H226" s="505">
        <v>43357</v>
      </c>
      <c r="I226" s="506">
        <v>44166</v>
      </c>
      <c r="J226" s="507" t="s">
        <v>374</v>
      </c>
    </row>
    <row r="227" spans="2:10">
      <c r="B227" s="211" t="s">
        <v>183</v>
      </c>
      <c r="C227" s="296" t="s">
        <v>47</v>
      </c>
      <c r="D227" s="502" t="s">
        <v>428</v>
      </c>
      <c r="E227" s="503">
        <v>506</v>
      </c>
      <c r="F227" s="502" t="s">
        <v>221</v>
      </c>
      <c r="G227" s="504">
        <v>0.15</v>
      </c>
      <c r="H227" s="505">
        <v>42330</v>
      </c>
      <c r="I227" s="506">
        <v>43435</v>
      </c>
      <c r="J227" s="507" t="s">
        <v>374</v>
      </c>
    </row>
    <row r="228" spans="2:10">
      <c r="B228" s="211" t="s">
        <v>183</v>
      </c>
      <c r="C228" s="296" t="s">
        <v>47</v>
      </c>
      <c r="D228" s="261" t="s">
        <v>306</v>
      </c>
      <c r="E228" s="494"/>
      <c r="F228" s="254"/>
      <c r="G228" s="497"/>
      <c r="H228" s="262"/>
      <c r="I228" s="263"/>
      <c r="J228" s="500"/>
    </row>
    <row r="229" spans="2:10">
      <c r="B229" s="211" t="s">
        <v>183</v>
      </c>
      <c r="C229" s="296" t="s">
        <v>47</v>
      </c>
      <c r="D229" s="261" t="s">
        <v>306</v>
      </c>
      <c r="E229" s="494"/>
      <c r="F229" s="254"/>
      <c r="G229" s="497"/>
      <c r="H229" s="262"/>
      <c r="I229" s="263"/>
      <c r="J229" s="500"/>
    </row>
    <row r="230" spans="2:10">
      <c r="B230" s="211" t="s">
        <v>183</v>
      </c>
      <c r="C230" s="296" t="s">
        <v>47</v>
      </c>
      <c r="D230" s="261" t="s">
        <v>306</v>
      </c>
      <c r="E230" s="494"/>
      <c r="F230" s="254"/>
      <c r="G230" s="497"/>
      <c r="H230" s="262"/>
      <c r="I230" s="263"/>
      <c r="J230" s="500"/>
    </row>
    <row r="231" spans="2:10">
      <c r="B231" s="211" t="s">
        <v>183</v>
      </c>
      <c r="C231" s="296" t="s">
        <v>47</v>
      </c>
      <c r="D231" s="261" t="s">
        <v>306</v>
      </c>
      <c r="E231" s="494"/>
      <c r="F231" s="254"/>
      <c r="G231" s="497"/>
      <c r="H231" s="262"/>
      <c r="I231" s="263"/>
      <c r="J231" s="500"/>
    </row>
    <row r="232" spans="2:10">
      <c r="B232" s="211" t="s">
        <v>183</v>
      </c>
      <c r="C232" s="297" t="s">
        <v>231</v>
      </c>
      <c r="D232" s="502" t="s">
        <v>436</v>
      </c>
      <c r="E232" s="503">
        <v>678</v>
      </c>
      <c r="F232" s="502" t="s">
        <v>433</v>
      </c>
      <c r="G232" s="504">
        <v>0.5</v>
      </c>
      <c r="H232" s="505">
        <v>42261</v>
      </c>
      <c r="I232" s="506">
        <v>43435</v>
      </c>
      <c r="J232" s="507" t="s">
        <v>374</v>
      </c>
    </row>
    <row r="233" spans="2:10">
      <c r="B233" s="211" t="s">
        <v>183</v>
      </c>
      <c r="C233" s="297" t="s">
        <v>231</v>
      </c>
      <c r="D233" s="502" t="s">
        <v>435</v>
      </c>
      <c r="E233" s="503">
        <v>169</v>
      </c>
      <c r="F233" s="502" t="s">
        <v>433</v>
      </c>
      <c r="G233" s="504">
        <v>0.5</v>
      </c>
      <c r="H233" s="505">
        <v>43357</v>
      </c>
      <c r="I233" s="506">
        <v>44531</v>
      </c>
      <c r="J233" s="507" t="s">
        <v>374</v>
      </c>
    </row>
    <row r="234" spans="2:10">
      <c r="B234" s="211" t="s">
        <v>183</v>
      </c>
      <c r="C234" s="297" t="s">
        <v>231</v>
      </c>
      <c r="D234" s="502" t="s">
        <v>439</v>
      </c>
      <c r="E234" s="503">
        <v>88</v>
      </c>
      <c r="F234" s="502" t="s">
        <v>433</v>
      </c>
      <c r="G234" s="504">
        <v>0.5</v>
      </c>
      <c r="H234" s="505">
        <v>43357</v>
      </c>
      <c r="I234" s="506">
        <v>44531</v>
      </c>
      <c r="J234" s="507" t="s">
        <v>374</v>
      </c>
    </row>
    <row r="235" spans="2:10">
      <c r="B235" s="211" t="s">
        <v>183</v>
      </c>
      <c r="C235" s="297" t="s">
        <v>231</v>
      </c>
      <c r="D235" s="502" t="s">
        <v>441</v>
      </c>
      <c r="E235" s="503">
        <v>2940</v>
      </c>
      <c r="F235" s="502" t="s">
        <v>433</v>
      </c>
      <c r="G235" s="504">
        <v>0.5</v>
      </c>
      <c r="H235" s="505">
        <v>42261</v>
      </c>
      <c r="I235" s="506">
        <v>43435</v>
      </c>
      <c r="J235" s="507" t="s">
        <v>374</v>
      </c>
    </row>
    <row r="236" spans="2:10">
      <c r="B236" s="211" t="s">
        <v>183</v>
      </c>
      <c r="C236" s="297" t="s">
        <v>231</v>
      </c>
      <c r="D236" s="502" t="s">
        <v>440</v>
      </c>
      <c r="E236" s="503">
        <v>197</v>
      </c>
      <c r="F236" s="502" t="s">
        <v>433</v>
      </c>
      <c r="G236" s="504">
        <v>0.5</v>
      </c>
      <c r="H236" s="505">
        <v>43357</v>
      </c>
      <c r="I236" s="506">
        <v>44531</v>
      </c>
      <c r="J236" s="507" t="s">
        <v>374</v>
      </c>
    </row>
    <row r="237" spans="2:10">
      <c r="B237" s="211" t="s">
        <v>183</v>
      </c>
      <c r="C237" s="297" t="s">
        <v>231</v>
      </c>
      <c r="D237" s="502" t="s">
        <v>442</v>
      </c>
      <c r="E237" s="503">
        <v>1830</v>
      </c>
      <c r="F237" s="502" t="s">
        <v>320</v>
      </c>
      <c r="G237" s="504">
        <v>0.5</v>
      </c>
      <c r="H237" s="505">
        <v>42279</v>
      </c>
      <c r="I237" s="506">
        <v>43435</v>
      </c>
      <c r="J237" s="507" t="s">
        <v>374</v>
      </c>
    </row>
    <row r="238" spans="2:10">
      <c r="B238" s="211" t="s">
        <v>183</v>
      </c>
      <c r="C238" s="297" t="s">
        <v>231</v>
      </c>
      <c r="D238" s="502" t="s">
        <v>434</v>
      </c>
      <c r="E238" s="503">
        <v>222</v>
      </c>
      <c r="F238" s="502" t="s">
        <v>433</v>
      </c>
      <c r="G238" s="540">
        <v>0.5</v>
      </c>
      <c r="H238" s="505">
        <v>43375</v>
      </c>
      <c r="I238" s="506">
        <v>44531</v>
      </c>
      <c r="J238" s="507" t="s">
        <v>374</v>
      </c>
    </row>
    <row r="239" spans="2:10">
      <c r="B239" s="211" t="s">
        <v>183</v>
      </c>
      <c r="C239" s="297" t="s">
        <v>231</v>
      </c>
      <c r="D239" s="502" t="s">
        <v>437</v>
      </c>
      <c r="E239" s="503">
        <v>156</v>
      </c>
      <c r="F239" s="502" t="s">
        <v>433</v>
      </c>
      <c r="G239" s="540">
        <v>0.5</v>
      </c>
      <c r="H239" s="505">
        <v>43375</v>
      </c>
      <c r="I239" s="506">
        <v>44531</v>
      </c>
      <c r="J239" s="507" t="s">
        <v>374</v>
      </c>
    </row>
    <row r="240" spans="2:10">
      <c r="B240" s="211" t="s">
        <v>183</v>
      </c>
      <c r="C240" s="297" t="s">
        <v>231</v>
      </c>
      <c r="D240" s="502" t="s">
        <v>438</v>
      </c>
      <c r="E240" s="503">
        <v>296</v>
      </c>
      <c r="F240" s="502" t="s">
        <v>433</v>
      </c>
      <c r="G240" s="540">
        <v>0.5</v>
      </c>
      <c r="H240" s="505">
        <v>43375</v>
      </c>
      <c r="I240" s="506">
        <v>44531</v>
      </c>
      <c r="J240" s="507" t="s">
        <v>374</v>
      </c>
    </row>
    <row r="241" spans="2:10">
      <c r="B241" s="211" t="s">
        <v>183</v>
      </c>
      <c r="C241" s="297" t="s">
        <v>231</v>
      </c>
      <c r="D241" s="261" t="s">
        <v>306</v>
      </c>
      <c r="E241" s="494"/>
      <c r="F241" s="254"/>
      <c r="G241" s="497"/>
      <c r="H241" s="262"/>
      <c r="I241" s="263"/>
      <c r="J241" s="500"/>
    </row>
    <row r="242" spans="2:10">
      <c r="B242" s="211" t="s">
        <v>183</v>
      </c>
      <c r="C242" s="297" t="s">
        <v>231</v>
      </c>
      <c r="D242" s="261" t="s">
        <v>306</v>
      </c>
      <c r="E242" s="494"/>
      <c r="F242" s="254"/>
      <c r="G242" s="497"/>
      <c r="H242" s="262"/>
      <c r="I242" s="263"/>
      <c r="J242" s="500"/>
    </row>
    <row r="243" spans="2:10">
      <c r="B243" s="211" t="s">
        <v>183</v>
      </c>
      <c r="C243" s="354" t="s">
        <v>359</v>
      </c>
      <c r="D243" s="261" t="s">
        <v>306</v>
      </c>
      <c r="E243" s="494"/>
      <c r="F243" s="254"/>
      <c r="G243" s="497"/>
      <c r="H243" s="254"/>
      <c r="I243" s="254"/>
      <c r="J243" s="500"/>
    </row>
    <row r="244" spans="2:10">
      <c r="B244" s="211" t="s">
        <v>183</v>
      </c>
      <c r="C244" s="354" t="s">
        <v>359</v>
      </c>
      <c r="D244" s="261" t="s">
        <v>306</v>
      </c>
      <c r="E244" s="494"/>
      <c r="F244" s="254"/>
      <c r="G244" s="497"/>
      <c r="H244" s="254"/>
      <c r="I244" s="254"/>
      <c r="J244" s="500"/>
    </row>
    <row r="245" spans="2:10">
      <c r="B245" s="211" t="s">
        <v>183</v>
      </c>
      <c r="C245" s="354" t="s">
        <v>359</v>
      </c>
      <c r="D245" s="261" t="s">
        <v>306</v>
      </c>
      <c r="E245" s="494"/>
      <c r="F245" s="254"/>
      <c r="G245" s="497"/>
      <c r="H245" s="254"/>
      <c r="I245" s="254"/>
      <c r="J245" s="500"/>
    </row>
    <row r="246" spans="2:10">
      <c r="B246" s="211" t="s">
        <v>183</v>
      </c>
      <c r="C246" s="354" t="s">
        <v>359</v>
      </c>
      <c r="D246" s="261" t="s">
        <v>306</v>
      </c>
      <c r="E246" s="494"/>
      <c r="F246" s="254"/>
      <c r="G246" s="497"/>
      <c r="H246" s="254"/>
      <c r="I246" s="254"/>
      <c r="J246" s="500"/>
    </row>
    <row r="247" spans="2:10">
      <c r="B247" s="211" t="s">
        <v>183</v>
      </c>
      <c r="C247" s="354" t="s">
        <v>359</v>
      </c>
      <c r="D247" s="261" t="s">
        <v>306</v>
      </c>
      <c r="E247" s="494"/>
      <c r="F247" s="254"/>
      <c r="G247" s="497"/>
      <c r="H247" s="254"/>
      <c r="I247" s="254"/>
      <c r="J247" s="500"/>
    </row>
    <row r="248" spans="2:10">
      <c r="B248" s="211" t="s">
        <v>183</v>
      </c>
      <c r="C248" s="354" t="s">
        <v>359</v>
      </c>
      <c r="D248" s="261" t="s">
        <v>306</v>
      </c>
      <c r="E248" s="494"/>
      <c r="F248" s="254"/>
      <c r="G248" s="497"/>
      <c r="H248" s="254"/>
      <c r="I248" s="254"/>
      <c r="J248" s="500"/>
    </row>
    <row r="249" spans="2:10">
      <c r="B249" s="211" t="s">
        <v>183</v>
      </c>
      <c r="C249" s="354" t="s">
        <v>359</v>
      </c>
      <c r="D249" s="261" t="s">
        <v>306</v>
      </c>
      <c r="E249" s="494"/>
      <c r="F249" s="254"/>
      <c r="G249" s="497"/>
      <c r="H249" s="254"/>
      <c r="I249" s="254"/>
      <c r="J249" s="500"/>
    </row>
  </sheetData>
  <autoFilter ref="B1:I249" xr:uid="{00000000-0009-0000-0000-000001000000}"/>
  <sortState xmlns:xlrd2="http://schemas.microsoft.com/office/spreadsheetml/2017/richdata2" ref="D30:J34">
    <sortCondition ref="D30"/>
  </sortState>
  <mergeCells count="1">
    <mergeCell ref="L6:Q8"/>
  </mergeCells>
  <dataValidations count="1">
    <dataValidation type="list" allowBlank="1" showInputMessage="1" showErrorMessage="1" sqref="D17:D24" xr:uid="{00000000-0002-0000-0100-000000000000}">
      <formula1>Halocarbures_Kyoto</formula1>
    </dataValidation>
  </dataValidations>
  <hyperlinks>
    <hyperlink ref="L9" r:id="rId1" xr:uid="{00000000-0004-0000-0100-000000000000}"/>
  </hyperlinks>
  <pageMargins left="0.7" right="0.7" top="0.75" bottom="0.75" header="0.3" footer="0.3"/>
  <pageSetup paperSize="9" orientation="portrait" r:id="rId2"/>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6AB38"/>
  </sheetPr>
  <dimension ref="A2:AQ825"/>
  <sheetViews>
    <sheetView showGridLines="0" topLeftCell="B1" zoomScale="103" zoomScaleNormal="85" zoomScaleSheetLayoutView="85" workbookViewId="0">
      <pane ySplit="7" topLeftCell="A255" activePane="bottomLeft" state="frozen"/>
      <selection pane="bottomLeft" activeCell="H272" sqref="H272"/>
    </sheetView>
  </sheetViews>
  <sheetFormatPr baseColWidth="10" defaultColWidth="11.375" defaultRowHeight="11.4"/>
  <cols>
    <col min="1" max="1" width="2" customWidth="1"/>
    <col min="2" max="2" width="2.375" style="7" customWidth="1"/>
    <col min="3" max="3" width="66.375" customWidth="1"/>
    <col min="4" max="4" width="25.375" customWidth="1"/>
    <col min="5" max="5" width="24.375" customWidth="1"/>
    <col min="6" max="6" width="17.875" customWidth="1"/>
    <col min="7" max="7" width="20.75" style="145" bestFit="1" customWidth="1"/>
    <col min="8" max="8" width="17.125" customWidth="1"/>
    <col min="9" max="9" width="17.375" customWidth="1"/>
    <col min="10" max="10" width="13.375" customWidth="1"/>
    <col min="11" max="11" width="12.125" style="145" customWidth="1"/>
    <col min="14" max="14" width="12.875" style="145" customWidth="1"/>
    <col min="16" max="16" width="24.75" customWidth="1"/>
    <col min="28" max="28" width="26" customWidth="1"/>
    <col min="33" max="33" width="7" customWidth="1"/>
  </cols>
  <sheetData>
    <row r="2" spans="3:20" s="7" customFormat="1">
      <c r="G2" s="11"/>
      <c r="K2" s="11"/>
      <c r="N2" s="11"/>
    </row>
    <row r="3" spans="3:20" s="7" customFormat="1" ht="22.8">
      <c r="C3" s="579" t="s">
        <v>293</v>
      </c>
      <c r="D3" s="579"/>
      <c r="E3" s="579"/>
      <c r="F3" s="579"/>
      <c r="G3" s="579"/>
      <c r="H3" s="579"/>
      <c r="I3" s="579"/>
      <c r="J3" s="579"/>
      <c r="K3" s="579"/>
      <c r="L3" s="579"/>
      <c r="M3" s="227"/>
      <c r="N3" s="11"/>
    </row>
    <row r="4" spans="3:20" s="7" customFormat="1" ht="22.8">
      <c r="C4" s="580" t="s">
        <v>361</v>
      </c>
      <c r="D4" s="581"/>
      <c r="E4" s="581"/>
      <c r="F4" s="581"/>
      <c r="G4" s="581"/>
      <c r="H4" s="581"/>
      <c r="I4" s="581"/>
      <c r="J4" s="581"/>
      <c r="K4" s="581"/>
      <c r="L4" s="581"/>
      <c r="N4" s="11"/>
    </row>
    <row r="5" spans="3:20" s="47" customFormat="1" ht="22.8">
      <c r="C5" s="212" t="s">
        <v>54</v>
      </c>
      <c r="D5" s="213" t="s">
        <v>55</v>
      </c>
      <c r="E5" s="214" t="s">
        <v>53</v>
      </c>
      <c r="F5" s="215" t="s">
        <v>118</v>
      </c>
      <c r="G5" s="216" t="s">
        <v>83</v>
      </c>
      <c r="H5" s="217" t="s">
        <v>70</v>
      </c>
      <c r="I5" s="218" t="s">
        <v>71</v>
      </c>
      <c r="J5" s="558" t="s">
        <v>11</v>
      </c>
      <c r="K5" s="559"/>
      <c r="L5" s="559"/>
      <c r="M5" s="48"/>
      <c r="N5" s="151"/>
      <c r="O5" s="48"/>
      <c r="P5" s="48"/>
      <c r="Q5" s="48"/>
      <c r="R5" s="48"/>
      <c r="S5" s="48"/>
      <c r="T5" s="48"/>
    </row>
    <row r="6" spans="3:20" s="47" customFormat="1" ht="12">
      <c r="C6" s="45"/>
      <c r="D6" s="45"/>
      <c r="E6" s="45"/>
      <c r="F6" s="45"/>
      <c r="G6" s="133"/>
      <c r="H6" s="45"/>
      <c r="I6" s="45"/>
      <c r="J6" s="45"/>
      <c r="K6" s="146"/>
      <c r="L6" s="48"/>
      <c r="M6" s="48"/>
      <c r="N6" s="151"/>
      <c r="O6" s="48"/>
      <c r="P6" s="48"/>
      <c r="Q6" s="48"/>
      <c r="R6" s="48"/>
      <c r="S6" s="48"/>
      <c r="T6" s="48"/>
    </row>
    <row r="7" spans="3:20" s="47" customFormat="1" ht="12">
      <c r="C7" s="132" t="s">
        <v>279</v>
      </c>
      <c r="D7" s="50"/>
      <c r="E7" s="50"/>
      <c r="F7" s="50"/>
      <c r="G7" s="134"/>
      <c r="H7" s="50"/>
      <c r="I7" s="50"/>
      <c r="J7" s="46"/>
      <c r="K7" s="146"/>
      <c r="L7" s="48"/>
      <c r="M7" s="48"/>
      <c r="N7" s="151"/>
      <c r="O7" s="48"/>
      <c r="P7" s="48"/>
      <c r="Q7" s="48"/>
      <c r="R7" s="48"/>
      <c r="S7" s="48"/>
      <c r="T7" s="48"/>
    </row>
    <row r="8" spans="3:20" s="7" customFormat="1" ht="31.5" customHeight="1">
      <c r="G8" s="11"/>
      <c r="K8" s="11"/>
      <c r="N8" s="11"/>
    </row>
    <row r="9" spans="3:20" s="7" customFormat="1" ht="22.8">
      <c r="C9" s="582" t="s">
        <v>54</v>
      </c>
      <c r="D9" s="582"/>
      <c r="E9" s="582"/>
      <c r="F9" s="582"/>
      <c r="G9" s="582"/>
      <c r="H9" s="582"/>
      <c r="I9" s="582"/>
      <c r="J9" s="582"/>
      <c r="K9" s="582"/>
      <c r="L9" s="582"/>
      <c r="M9"/>
      <c r="N9"/>
    </row>
    <row r="10" spans="3:20" s="7" customFormat="1">
      <c r="G10"/>
      <c r="H10"/>
      <c r="I10"/>
      <c r="J10"/>
      <c r="K10"/>
      <c r="L10"/>
      <c r="M10"/>
      <c r="N10"/>
    </row>
    <row r="11" spans="3:20" s="7" customFormat="1">
      <c r="G11" s="11"/>
      <c r="K11" s="11"/>
      <c r="N11" s="11"/>
    </row>
    <row r="12" spans="3:20" s="7" customFormat="1">
      <c r="G12" s="11"/>
      <c r="K12" s="11"/>
      <c r="N12" s="11"/>
    </row>
    <row r="13" spans="3:20" s="7" customFormat="1" ht="12">
      <c r="D13" s="12"/>
      <c r="E13" s="12" t="s">
        <v>132</v>
      </c>
      <c r="F13" s="12"/>
      <c r="G13" s="12"/>
      <c r="H13" s="12"/>
      <c r="I13" s="12"/>
      <c r="J13" s="12"/>
      <c r="N13" s="11"/>
    </row>
    <row r="14" spans="3:20" s="7" customFormat="1">
      <c r="G14" s="11"/>
      <c r="K14" s="11"/>
      <c r="N14" s="11"/>
    </row>
    <row r="15" spans="3:20" s="7" customFormat="1" ht="12">
      <c r="C15" s="12" t="s">
        <v>174</v>
      </c>
      <c r="G15" s="63" t="s">
        <v>307</v>
      </c>
      <c r="I15" s="12" t="s">
        <v>61</v>
      </c>
      <c r="J15" s="12"/>
      <c r="K15" s="63"/>
      <c r="M15" s="12" t="s">
        <v>332</v>
      </c>
      <c r="N15" s="63"/>
      <c r="P15" s="12" t="s">
        <v>109</v>
      </c>
    </row>
    <row r="16" spans="3:20" s="247" customFormat="1" ht="22.8">
      <c r="C16" s="242" t="s">
        <v>63</v>
      </c>
      <c r="D16" s="244" t="s">
        <v>298</v>
      </c>
      <c r="E16" s="244" t="s">
        <v>297</v>
      </c>
      <c r="F16" s="270"/>
      <c r="G16" s="243" t="s">
        <v>232</v>
      </c>
      <c r="I16" s="244" t="s">
        <v>286</v>
      </c>
      <c r="J16" s="244" t="s">
        <v>287</v>
      </c>
      <c r="K16" s="245" t="s">
        <v>232</v>
      </c>
      <c r="M16" s="244" t="s">
        <v>288</v>
      </c>
      <c r="N16" s="248" t="s">
        <v>232</v>
      </c>
      <c r="P16" s="584" t="s">
        <v>165</v>
      </c>
      <c r="Q16" s="584"/>
      <c r="R16" s="584"/>
      <c r="S16" s="584"/>
      <c r="T16" s="584"/>
    </row>
    <row r="17" spans="1:20" s="7" customFormat="1" ht="11.7" customHeight="1">
      <c r="C17" s="14" t="s">
        <v>122</v>
      </c>
      <c r="D17" s="514">
        <v>3456200</v>
      </c>
      <c r="E17" s="266">
        <f>_xlfn.IFNA(VLOOKUP($C17,'Facteurs d''émission'!$D$2:$I$340,2,FALSE),"Non présent dans la base")</f>
        <v>0.24</v>
      </c>
      <c r="F17"/>
      <c r="G17" s="3">
        <f>D17*E17</f>
        <v>829488</v>
      </c>
      <c r="I17" s="230">
        <f>_xlfn.IFNA(VLOOKUP($C17,'Facteurs d''émission'!$D$2:$I$340,4,FALSE),"Non présent dans la base")</f>
        <v>0.05</v>
      </c>
      <c r="J17" s="224"/>
      <c r="K17" s="3">
        <f>G17*(1-(1-I17)*(1-J17))</f>
        <v>41474.400000000038</v>
      </c>
      <c r="L17" s="7" t="str">
        <f>IF(D17*COUNTA(J17)&gt;0,"ok","")</f>
        <v/>
      </c>
      <c r="M17" s="225"/>
      <c r="N17" s="3">
        <f>G17*M17</f>
        <v>0</v>
      </c>
      <c r="P17" s="598" t="s">
        <v>276</v>
      </c>
      <c r="Q17" s="612"/>
      <c r="R17" s="612"/>
      <c r="S17" s="612"/>
      <c r="T17" s="613"/>
    </row>
    <row r="18" spans="1:20" s="7" customFormat="1" ht="12">
      <c r="C18" s="14" t="s">
        <v>64</v>
      </c>
      <c r="D18" s="514"/>
      <c r="E18" s="266">
        <f>_xlfn.IFNA(VLOOKUP($C18,'Facteurs d''émission'!$D$2:$I$340,2,FALSE),"Non renseigné")</f>
        <v>0.32</v>
      </c>
      <c r="F18"/>
      <c r="G18" s="3">
        <f>D18*E18</f>
        <v>0</v>
      </c>
      <c r="I18" s="230">
        <f>_xlfn.IFNA(VLOOKUP($C18,'Facteurs d''émission'!$D$2:$I$340,4,FALSE),"Non présent dans la base")</f>
        <v>0.05</v>
      </c>
      <c r="J18" s="224"/>
      <c r="K18" s="3">
        <f>G18*(1-(1-I18)*(1-J18))</f>
        <v>0</v>
      </c>
      <c r="L18" s="7" t="str">
        <f t="shared" ref="L18:L23" si="0">IF(D18*COUNTA(J18)&gt;0,"ok","")</f>
        <v/>
      </c>
      <c r="M18" s="225"/>
      <c r="N18" s="3">
        <f>G18*M18</f>
        <v>0</v>
      </c>
      <c r="P18" s="614"/>
      <c r="Q18" s="615"/>
      <c r="R18" s="615"/>
      <c r="S18" s="615"/>
      <c r="T18" s="616"/>
    </row>
    <row r="19" spans="1:20" s="7" customFormat="1" ht="12">
      <c r="C19" s="14" t="s">
        <v>13</v>
      </c>
      <c r="D19" s="514"/>
      <c r="E19" s="266">
        <f>_xlfn.IFNA(VLOOKUP($C19,'Facteurs d''émission'!$D$2:$I$340,2,FALSE),"Non renseigné")</f>
        <v>0.32</v>
      </c>
      <c r="F19"/>
      <c r="G19" s="3">
        <f>D19*E19</f>
        <v>0</v>
      </c>
      <c r="I19" s="230">
        <f>_xlfn.IFNA(VLOOKUP($C19,'Facteurs d''émission'!$D$2:$I$340,4,FALSE),"Non présent dans la base")</f>
        <v>0.05</v>
      </c>
      <c r="J19" s="224"/>
      <c r="K19" s="3">
        <f>G19*(1-(1-I19)*(1-J19))</f>
        <v>0</v>
      </c>
      <c r="L19" s="7" t="str">
        <f t="shared" si="0"/>
        <v/>
      </c>
      <c r="M19" s="225"/>
      <c r="N19" s="3">
        <f>G19*M19</f>
        <v>0</v>
      </c>
      <c r="P19" s="614"/>
      <c r="Q19" s="615"/>
      <c r="R19" s="615"/>
      <c r="S19" s="615"/>
      <c r="T19" s="616"/>
    </row>
    <row r="20" spans="1:20" s="7" customFormat="1" ht="12">
      <c r="C20" s="14" t="s">
        <v>375</v>
      </c>
      <c r="D20" s="515"/>
      <c r="E20" s="266">
        <f>_xlfn.IFNA(VLOOKUP($C20,'Facteurs d''émission'!$D$2:$I$340,2,FALSE),"Non renseigné")</f>
        <v>2.7E-2</v>
      </c>
      <c r="F20"/>
      <c r="G20" s="3">
        <f t="shared" ref="G20:G22" si="1">D20*E20</f>
        <v>0</v>
      </c>
      <c r="I20" s="90">
        <f>_xlfn.IFNA(VLOOKUP($C20,'Facteurs d''émission'!$D$2:$I$340,4,FALSE),"Non présent dans la base")</f>
        <v>0</v>
      </c>
      <c r="J20" s="224"/>
      <c r="K20" s="3">
        <f t="shared" ref="K20:K23" si="2">G20*(1-(1-I20)*(1-J20))</f>
        <v>0</v>
      </c>
      <c r="L20" s="7" t="str">
        <f t="shared" si="0"/>
        <v/>
      </c>
      <c r="M20" s="238"/>
      <c r="N20" s="83">
        <f t="shared" ref="N20:N23" si="3">G20*M20</f>
        <v>0</v>
      </c>
      <c r="P20" s="614"/>
      <c r="Q20" s="615"/>
      <c r="R20" s="615"/>
      <c r="S20" s="615"/>
      <c r="T20" s="616"/>
    </row>
    <row r="21" spans="1:20" s="7" customFormat="1" ht="12">
      <c r="C21" s="14" t="s">
        <v>306</v>
      </c>
      <c r="D21" s="515"/>
      <c r="E21" s="266">
        <f>_xlfn.IFNA(VLOOKUP($C21,'Facteurs d''émission'!$D$2:$I$340,2,FALSE),"Non renseigné")</f>
        <v>0</v>
      </c>
      <c r="F21"/>
      <c r="G21" s="3">
        <f t="shared" si="1"/>
        <v>0</v>
      </c>
      <c r="I21" s="90">
        <f>_xlfn.IFNA(VLOOKUP($C21,'Facteurs d''émission'!$D$2:$I$340,4,FALSE),"Non présent dans la base")</f>
        <v>0</v>
      </c>
      <c r="J21" s="224"/>
      <c r="K21" s="3">
        <f t="shared" si="2"/>
        <v>0</v>
      </c>
      <c r="L21" s="7" t="str">
        <f t="shared" si="0"/>
        <v/>
      </c>
      <c r="M21" s="238"/>
      <c r="N21" s="83">
        <f t="shared" si="3"/>
        <v>0</v>
      </c>
      <c r="P21" s="614"/>
      <c r="Q21" s="615"/>
      <c r="R21" s="615"/>
      <c r="S21" s="615"/>
      <c r="T21" s="616"/>
    </row>
    <row r="22" spans="1:20" s="7" customFormat="1" ht="12">
      <c r="C22" s="14" t="s">
        <v>306</v>
      </c>
      <c r="D22" s="515"/>
      <c r="E22" s="266">
        <f>_xlfn.IFNA(VLOOKUP($C22,'Facteurs d''émission'!$D$2:$I$340,2,FALSE),"Non renseigné")</f>
        <v>0</v>
      </c>
      <c r="F22"/>
      <c r="G22" s="3">
        <f t="shared" si="1"/>
        <v>0</v>
      </c>
      <c r="I22" s="90">
        <f>_xlfn.IFNA(VLOOKUP($C22,'Facteurs d''émission'!$D$2:$I$340,4,FALSE),"Non présent dans la base")</f>
        <v>0</v>
      </c>
      <c r="J22" s="224"/>
      <c r="K22" s="3">
        <f t="shared" si="2"/>
        <v>0</v>
      </c>
      <c r="L22" s="7" t="str">
        <f t="shared" si="0"/>
        <v/>
      </c>
      <c r="M22" s="238"/>
      <c r="N22" s="83">
        <f t="shared" si="3"/>
        <v>0</v>
      </c>
      <c r="P22" s="614"/>
      <c r="Q22" s="615"/>
      <c r="R22" s="615"/>
      <c r="S22" s="615"/>
      <c r="T22" s="616"/>
    </row>
    <row r="23" spans="1:20" s="7" customFormat="1" ht="12">
      <c r="C23" s="14" t="s">
        <v>306</v>
      </c>
      <c r="D23" s="515"/>
      <c r="E23" s="266">
        <f>_xlfn.IFNA(VLOOKUP($C23,'Facteurs d''émission'!$D$2:$I$340,2,FALSE),"Non renseigné")</f>
        <v>0</v>
      </c>
      <c r="F23"/>
      <c r="G23" s="3">
        <f>D23*E23</f>
        <v>0</v>
      </c>
      <c r="I23" s="90">
        <f>_xlfn.IFNA(VLOOKUP($C23,'Facteurs d''émission'!$D$2:$I$340,4,FALSE),"Non présent dans la base")</f>
        <v>0</v>
      </c>
      <c r="J23" s="224"/>
      <c r="K23" s="3">
        <f t="shared" si="2"/>
        <v>0</v>
      </c>
      <c r="L23" s="7" t="str">
        <f t="shared" si="0"/>
        <v/>
      </c>
      <c r="M23" s="238"/>
      <c r="N23" s="83">
        <f t="shared" si="3"/>
        <v>0</v>
      </c>
      <c r="P23" s="617"/>
      <c r="Q23" s="618"/>
      <c r="R23" s="618"/>
      <c r="S23" s="618"/>
      <c r="T23" s="619"/>
    </row>
    <row r="24" spans="1:20" s="7" customFormat="1" ht="12">
      <c r="C24" s="52" t="s">
        <v>25</v>
      </c>
      <c r="D24" s="513">
        <f>SUM(D17:D23)</f>
        <v>3456200</v>
      </c>
      <c r="E24" s="108"/>
      <c r="F24"/>
      <c r="G24" s="51">
        <f>SUM(G17:G23)</f>
        <v>829488</v>
      </c>
      <c r="I24" s="570" t="str">
        <f>IF(COUNTA(D17:D23)&gt;COUNTIF(L17:L23,"ok"),"! Remplir une incertitude !","")</f>
        <v>! Remplir une incertitude !</v>
      </c>
      <c r="J24" s="571"/>
      <c r="K24" s="54">
        <f>SUM(K17:K23)</f>
        <v>41474.400000000038</v>
      </c>
      <c r="M24" s="55"/>
      <c r="N24" s="54">
        <f>SUM(N17:N23)</f>
        <v>0</v>
      </c>
      <c r="P24" s="583" t="str">
        <f>IF(N24&gt;0,IF(#REF!="","Attention: vous devez planifier une action afin de remplir votre objectif",""),"")</f>
        <v/>
      </c>
      <c r="Q24" s="583"/>
      <c r="R24" s="583"/>
      <c r="S24" s="583"/>
      <c r="T24" s="583"/>
    </row>
    <row r="25" spans="1:20" s="7" customFormat="1" ht="12">
      <c r="C25" s="12"/>
      <c r="G25" s="63"/>
      <c r="I25" s="64"/>
      <c r="K25" s="63"/>
      <c r="N25" s="63"/>
      <c r="P25" s="13"/>
      <c r="Q25" s="13"/>
      <c r="R25" s="13"/>
      <c r="S25" s="13"/>
      <c r="T25" s="13"/>
    </row>
    <row r="26" spans="1:20" s="7" customFormat="1" ht="12">
      <c r="C26" s="12"/>
      <c r="G26" s="63"/>
      <c r="I26" s="64"/>
      <c r="K26" s="63"/>
      <c r="N26" s="63"/>
      <c r="P26" s="13"/>
      <c r="Q26" s="13"/>
      <c r="R26" s="13"/>
      <c r="S26" s="13"/>
      <c r="T26" s="13"/>
    </row>
    <row r="27" spans="1:20" s="7" customFormat="1">
      <c r="G27" s="11"/>
      <c r="K27" s="11"/>
      <c r="N27" s="11"/>
    </row>
    <row r="28" spans="1:20" s="7" customFormat="1" ht="12">
      <c r="D28" s="12"/>
      <c r="E28" s="12" t="s">
        <v>90</v>
      </c>
      <c r="F28" s="12"/>
      <c r="G28" s="12"/>
      <c r="H28" s="12"/>
      <c r="I28" s="12"/>
      <c r="J28" s="12"/>
      <c r="N28" s="11"/>
    </row>
    <row r="29" spans="1:20" s="7" customFormat="1">
      <c r="G29" s="11"/>
      <c r="K29" s="11"/>
      <c r="N29" s="11"/>
    </row>
    <row r="30" spans="1:20" s="7" customFormat="1" ht="12">
      <c r="C30" s="12" t="s">
        <v>128</v>
      </c>
      <c r="G30" s="63" t="s">
        <v>307</v>
      </c>
      <c r="I30" s="572" t="s">
        <v>61</v>
      </c>
      <c r="J30" s="572"/>
      <c r="K30" s="572"/>
      <c r="M30" s="62" t="s">
        <v>332</v>
      </c>
      <c r="N30" s="152"/>
      <c r="P30" s="12" t="s">
        <v>109</v>
      </c>
    </row>
    <row r="31" spans="1:20" s="246" customFormat="1" ht="22.8">
      <c r="A31" s="270"/>
      <c r="C31" s="242" t="s">
        <v>52</v>
      </c>
      <c r="D31" s="244" t="s">
        <v>301</v>
      </c>
      <c r="E31" s="244" t="s">
        <v>302</v>
      </c>
      <c r="F31" s="242" t="s">
        <v>283</v>
      </c>
      <c r="G31" s="243" t="s">
        <v>232</v>
      </c>
      <c r="I31" s="244" t="s">
        <v>286</v>
      </c>
      <c r="J31" s="244" t="s">
        <v>287</v>
      </c>
      <c r="K31" s="243" t="s">
        <v>232</v>
      </c>
      <c r="M31" s="244" t="s">
        <v>288</v>
      </c>
      <c r="N31" s="243" t="s">
        <v>232</v>
      </c>
      <c r="P31" s="584" t="s">
        <v>165</v>
      </c>
      <c r="Q31" s="584"/>
      <c r="R31" s="584"/>
      <c r="S31" s="584"/>
      <c r="T31" s="584"/>
    </row>
    <row r="32" spans="1:20" s="7" customFormat="1" ht="12">
      <c r="A32"/>
      <c r="C32" s="158" t="s">
        <v>444</v>
      </c>
      <c r="D32" s="514">
        <v>2091000</v>
      </c>
      <c r="E32" s="266">
        <f>_xlfn.IFNA(VLOOKUP($C32,'Facteurs d''émission'!$D$2:$I$340,2,FALSE),"Non renseigné")</f>
        <v>5.1900000000000002E-2</v>
      </c>
      <c r="F32" s="224">
        <v>0.1</v>
      </c>
      <c r="G32" s="21">
        <f>D32*E32*(1+F32)</f>
        <v>119375.19000000002</v>
      </c>
      <c r="I32" s="230">
        <f>_xlfn.IFNA(VLOOKUP($C32,'Facteurs d''émission'!$D$2:$I$340,4,FALSE),"Non présent dans la base")</f>
        <v>0.1</v>
      </c>
      <c r="J32" s="224"/>
      <c r="K32" s="21">
        <f>G32*(1-(1-I32)*(1-J32))</f>
        <v>11937.518999999998</v>
      </c>
      <c r="L32" s="7" t="str">
        <f>IF(D32*COUNTA(J32)&gt;0,"ok","")</f>
        <v/>
      </c>
      <c r="M32" s="224"/>
      <c r="N32" s="21">
        <f>G32*M32</f>
        <v>0</v>
      </c>
      <c r="P32" s="598" t="s">
        <v>276</v>
      </c>
      <c r="Q32" s="599"/>
      <c r="R32" s="599"/>
      <c r="S32" s="599"/>
      <c r="T32" s="600"/>
    </row>
    <row r="33" spans="1:20" s="7" customFormat="1" ht="12">
      <c r="A33"/>
      <c r="C33" s="158" t="s">
        <v>306</v>
      </c>
      <c r="D33" s="514"/>
      <c r="E33" s="266">
        <f>_xlfn.IFNA(VLOOKUP($C33,'Facteurs d''émission'!$D$2:$I$340,2,FALSE),"Non renseigné")</f>
        <v>0</v>
      </c>
      <c r="F33" s="224"/>
      <c r="G33" s="21">
        <f t="shared" ref="G33:G35" si="4">D33*E33*(1+F33)</f>
        <v>0</v>
      </c>
      <c r="I33" s="230">
        <f>_xlfn.IFNA(VLOOKUP($C33,'Facteurs d''émission'!$D$2:$I$340,4,FALSE),"Non présent dans la base")</f>
        <v>0</v>
      </c>
      <c r="J33" s="224"/>
      <c r="K33" s="21">
        <f t="shared" ref="K33:K35" si="5">G33*(1-(1-I33)*(1-J33))</f>
        <v>0</v>
      </c>
      <c r="L33" s="7" t="str">
        <f t="shared" ref="L33:L35" si="6">IF(D33*COUNTA(J33)&gt;0,"ok","")</f>
        <v/>
      </c>
      <c r="M33" s="224"/>
      <c r="N33" s="21">
        <f t="shared" ref="N33:N35" si="7">G33*M33</f>
        <v>0</v>
      </c>
      <c r="P33" s="601"/>
      <c r="Q33" s="602"/>
      <c r="R33" s="602"/>
      <c r="S33" s="602"/>
      <c r="T33" s="603"/>
    </row>
    <row r="34" spans="1:20" s="7" customFormat="1" ht="12">
      <c r="A34"/>
      <c r="C34" s="158" t="s">
        <v>306</v>
      </c>
      <c r="D34" s="514"/>
      <c r="E34" s="266">
        <f>_xlfn.IFNA(VLOOKUP($C34,'Facteurs d''émission'!$D$2:$I$340,2,FALSE),"Non renseigné")</f>
        <v>0</v>
      </c>
      <c r="F34" s="224"/>
      <c r="G34" s="21">
        <f t="shared" si="4"/>
        <v>0</v>
      </c>
      <c r="I34" s="230">
        <f>_xlfn.IFNA(VLOOKUP($C34,'Facteurs d''émission'!$D$2:$I$340,4,FALSE),"Non présent dans la base")</f>
        <v>0</v>
      </c>
      <c r="J34" s="224"/>
      <c r="K34" s="21">
        <f t="shared" si="5"/>
        <v>0</v>
      </c>
      <c r="L34" s="7" t="str">
        <f t="shared" si="6"/>
        <v/>
      </c>
      <c r="M34" s="224"/>
      <c r="N34" s="21">
        <f t="shared" si="7"/>
        <v>0</v>
      </c>
      <c r="P34" s="601"/>
      <c r="Q34" s="602"/>
      <c r="R34" s="602"/>
      <c r="S34" s="602"/>
      <c r="T34" s="603"/>
    </row>
    <row r="35" spans="1:20" s="7" customFormat="1" ht="12">
      <c r="A35"/>
      <c r="C35" s="158" t="s">
        <v>306</v>
      </c>
      <c r="D35" s="514"/>
      <c r="E35" s="266">
        <f>_xlfn.IFNA(VLOOKUP($C35,'Facteurs d''émission'!$D$2:$I$340,2,FALSE),"Non renseigné")</f>
        <v>0</v>
      </c>
      <c r="F35" s="224"/>
      <c r="G35" s="21">
        <f t="shared" si="4"/>
        <v>0</v>
      </c>
      <c r="I35" s="230">
        <f>_xlfn.IFNA(VLOOKUP($C35,'Facteurs d''émission'!$D$2:$I$340,4,FALSE),"Non présent dans la base")</f>
        <v>0</v>
      </c>
      <c r="J35" s="224"/>
      <c r="K35" s="21">
        <f t="shared" si="5"/>
        <v>0</v>
      </c>
      <c r="L35" s="7" t="str">
        <f t="shared" si="6"/>
        <v/>
      </c>
      <c r="M35" s="224"/>
      <c r="N35" s="21">
        <f t="shared" si="7"/>
        <v>0</v>
      </c>
      <c r="P35" s="604"/>
      <c r="Q35" s="605"/>
      <c r="R35" s="605"/>
      <c r="S35" s="605"/>
      <c r="T35" s="606"/>
    </row>
    <row r="36" spans="1:20" s="7" customFormat="1" ht="12">
      <c r="A36"/>
      <c r="C36" s="52" t="s">
        <v>25</v>
      </c>
      <c r="D36" s="513">
        <f>SUM(D32:D35)</f>
        <v>2091000</v>
      </c>
      <c r="E36" s="57"/>
      <c r="F36" s="57"/>
      <c r="G36" s="54">
        <f>SUM(G32:G35)</f>
        <v>119375.19000000002</v>
      </c>
      <c r="I36" s="570" t="str">
        <f>IF(COUNTA(D32:D35)&gt;COUNTIF(L32:L35,"ok"),"! Remplir une incertitude !","")</f>
        <v>! Remplir une incertitude !</v>
      </c>
      <c r="J36" s="571"/>
      <c r="K36" s="58">
        <f>SUM(K32:K35)</f>
        <v>11937.518999999998</v>
      </c>
      <c r="M36" s="55"/>
      <c r="N36" s="54">
        <f>SUM(N32:N35)</f>
        <v>0</v>
      </c>
      <c r="P36" s="583" t="str">
        <f>IF(N36&gt;0,IF(#REF!="","Attention: vous devez planifier une action afin de remplir votre objectif",""),"")</f>
        <v/>
      </c>
      <c r="Q36" s="583"/>
      <c r="R36" s="583"/>
      <c r="S36" s="583"/>
      <c r="T36" s="583"/>
    </row>
    <row r="37" spans="1:20" s="7" customFormat="1" ht="12">
      <c r="A37"/>
      <c r="C37" s="12"/>
      <c r="D37" s="12"/>
      <c r="E37" s="12"/>
      <c r="F37" s="12"/>
      <c r="G37" s="63"/>
      <c r="I37" s="9"/>
      <c r="J37" s="9"/>
      <c r="K37" s="63"/>
      <c r="N37" s="63"/>
      <c r="P37" s="13"/>
      <c r="Q37" s="13"/>
      <c r="R37" s="13"/>
      <c r="S37" s="13"/>
      <c r="T37" s="13"/>
    </row>
    <row r="38" spans="1:20" s="7" customFormat="1" ht="12">
      <c r="A38"/>
      <c r="C38" s="12"/>
      <c r="D38" s="12"/>
      <c r="E38" s="12"/>
      <c r="F38" s="12"/>
      <c r="G38" s="63"/>
      <c r="I38" s="9"/>
      <c r="J38" s="9"/>
      <c r="K38" s="63"/>
      <c r="N38" s="63"/>
      <c r="P38" s="13"/>
      <c r="Q38" s="13"/>
      <c r="R38" s="13"/>
      <c r="S38" s="13"/>
      <c r="T38" s="13"/>
    </row>
    <row r="39" spans="1:20" s="7" customFormat="1">
      <c r="G39" s="11"/>
      <c r="K39" s="11"/>
      <c r="N39" s="11"/>
    </row>
    <row r="40" spans="1:20" s="7" customFormat="1" ht="12">
      <c r="D40" s="12"/>
      <c r="E40" s="12" t="s">
        <v>278</v>
      </c>
      <c r="F40" s="12"/>
      <c r="G40" s="12"/>
      <c r="H40" s="12"/>
      <c r="I40" s="12"/>
      <c r="J40" s="12"/>
      <c r="N40" s="11"/>
    </row>
    <row r="41" spans="1:20" s="7" customFormat="1" ht="12.75" customHeight="1">
      <c r="G41" s="11"/>
      <c r="K41" s="11"/>
      <c r="N41" s="11"/>
    </row>
    <row r="42" spans="1:20" s="7" customFormat="1" ht="12.75" customHeight="1">
      <c r="C42" s="60" t="s">
        <v>127</v>
      </c>
      <c r="D42" s="9"/>
      <c r="E42" s="9"/>
      <c r="F42" s="9"/>
      <c r="G42" s="63" t="s">
        <v>307</v>
      </c>
      <c r="H42" s="9"/>
      <c r="I42" s="572" t="s">
        <v>61</v>
      </c>
      <c r="J42" s="572"/>
      <c r="K42" s="572"/>
      <c r="M42" s="42" t="s">
        <v>332</v>
      </c>
      <c r="N42" s="63"/>
      <c r="P42" s="12" t="s">
        <v>109</v>
      </c>
    </row>
    <row r="43" spans="1:20" s="7" customFormat="1" ht="13.5" customHeight="1">
      <c r="A43"/>
      <c r="C43" s="269" t="s">
        <v>110</v>
      </c>
      <c r="D43" s="228" t="s">
        <v>299</v>
      </c>
      <c r="E43" s="228" t="s">
        <v>300</v>
      </c>
      <c r="F43"/>
      <c r="G43" s="229" t="s">
        <v>232</v>
      </c>
      <c r="H43" s="9"/>
      <c r="I43" s="228" t="s">
        <v>286</v>
      </c>
      <c r="J43" s="228" t="s">
        <v>287</v>
      </c>
      <c r="K43" s="271" t="s">
        <v>232</v>
      </c>
      <c r="M43" s="228" t="s">
        <v>288</v>
      </c>
      <c r="N43" s="271" t="s">
        <v>232</v>
      </c>
      <c r="P43" s="554" t="s">
        <v>165</v>
      </c>
      <c r="Q43" s="554"/>
      <c r="R43" s="554"/>
      <c r="S43" s="554"/>
      <c r="T43" s="554"/>
    </row>
    <row r="44" spans="1:20" s="7" customFormat="1">
      <c r="A44"/>
      <c r="C44" s="1" t="s">
        <v>22</v>
      </c>
      <c r="D44" s="221"/>
      <c r="E44" s="266">
        <f>_xlfn.IFNA(VLOOKUP($C44,'Facteurs d''émission'!$D$2:$I$340,2,FALSE),"Non renseigné")</f>
        <v>1530</v>
      </c>
      <c r="F44"/>
      <c r="G44" s="21">
        <f>D44*E44</f>
        <v>0</v>
      </c>
      <c r="I44" s="230">
        <f>_xlfn.IFNA(VLOOKUP($C44,'Facteurs d''émission'!$D$2:$I$340,4,FALSE),"Non présent dans la base")</f>
        <v>0.3</v>
      </c>
      <c r="J44" s="224"/>
      <c r="K44" s="21">
        <f>G44*(1-(1-I44)*(1-J44))</f>
        <v>0</v>
      </c>
      <c r="L44" s="7" t="str">
        <f>IF(D44*COUNTA(J44)&gt;0,"ok","")</f>
        <v/>
      </c>
      <c r="M44" s="225"/>
      <c r="N44" s="21">
        <f>G44*M44</f>
        <v>0</v>
      </c>
      <c r="P44" s="598" t="s">
        <v>276</v>
      </c>
      <c r="Q44" s="599"/>
      <c r="R44" s="599"/>
      <c r="S44" s="599"/>
      <c r="T44" s="600"/>
    </row>
    <row r="45" spans="1:20" s="7" customFormat="1">
      <c r="A45"/>
      <c r="C45" s="1" t="s">
        <v>259</v>
      </c>
      <c r="D45" s="221"/>
      <c r="E45" s="266">
        <f>_xlfn.IFNA(VLOOKUP($C45,'Facteurs d''émission'!$D$2:$I$340,2,FALSE),"Non renseigné")</f>
        <v>1910</v>
      </c>
      <c r="F45"/>
      <c r="G45" s="21">
        <f>D45*E45</f>
        <v>0</v>
      </c>
      <c r="I45" s="230">
        <f>_xlfn.IFNA(VLOOKUP($C45,'Facteurs d''émission'!$D$2:$I$340,4,FALSE),"Non présent dans la base")</f>
        <v>0.3</v>
      </c>
      <c r="J45" s="224"/>
      <c r="K45" s="21">
        <f t="shared" ref="K45:K49" si="8">G45*(1-(1-I45)*(1-J45))</f>
        <v>0</v>
      </c>
      <c r="L45" s="7" t="str">
        <f t="shared" ref="L45:L49" si="9">IF(D45*COUNTA(J45)&gt;0,"ok","")</f>
        <v/>
      </c>
      <c r="M45" s="225"/>
      <c r="N45" s="21">
        <f t="shared" ref="N45:N49" si="10">G45*M45</f>
        <v>0</v>
      </c>
      <c r="P45" s="601"/>
      <c r="Q45" s="602"/>
      <c r="R45" s="602"/>
      <c r="S45" s="602"/>
      <c r="T45" s="603"/>
    </row>
    <row r="46" spans="1:20" s="7" customFormat="1">
      <c r="A46"/>
      <c r="C46" s="1" t="s">
        <v>262</v>
      </c>
      <c r="D46" s="221"/>
      <c r="E46" s="266">
        <f>_xlfn.IFNA(VLOOKUP($C46,'Facteurs d''émission'!$D$2:$I$340,2,FALSE),"Non renseigné")</f>
        <v>770</v>
      </c>
      <c r="F46"/>
      <c r="G46" s="5">
        <f>D46*E46</f>
        <v>0</v>
      </c>
      <c r="I46" s="230">
        <f>_xlfn.IFNA(VLOOKUP($C46,'Facteurs d''émission'!$D$2:$I$340,4,FALSE),"Non présent dans la base")</f>
        <v>0.3</v>
      </c>
      <c r="J46" s="224"/>
      <c r="K46" s="21">
        <f t="shared" si="8"/>
        <v>0</v>
      </c>
      <c r="L46" s="7" t="str">
        <f t="shared" si="9"/>
        <v/>
      </c>
      <c r="M46" s="225"/>
      <c r="N46" s="21">
        <f t="shared" si="10"/>
        <v>0</v>
      </c>
      <c r="P46" s="601"/>
      <c r="Q46" s="602"/>
      <c r="R46" s="602"/>
      <c r="S46" s="602"/>
      <c r="T46" s="603"/>
    </row>
    <row r="47" spans="1:20" s="7" customFormat="1" ht="12">
      <c r="A47"/>
      <c r="C47" s="1" t="s">
        <v>261</v>
      </c>
      <c r="D47" s="514">
        <v>135</v>
      </c>
      <c r="E47" s="266">
        <f>_xlfn.IFNA(VLOOKUP($C47,'Facteurs d''émission'!$D$2:$I$340,2,FALSE),"Non renseigné")</f>
        <v>2260</v>
      </c>
      <c r="F47"/>
      <c r="G47" s="5">
        <f t="shared" ref="G47:G49" si="11">D47*E47</f>
        <v>305100</v>
      </c>
      <c r="I47" s="230">
        <f>_xlfn.IFNA(VLOOKUP($C47,'Facteurs d''émission'!$D$2:$I$340,4,FALSE),"Non présent dans la base")</f>
        <v>0.3</v>
      </c>
      <c r="J47" s="224"/>
      <c r="K47" s="21">
        <f t="shared" si="8"/>
        <v>91530.000000000015</v>
      </c>
      <c r="L47" s="7" t="str">
        <f t="shared" si="9"/>
        <v/>
      </c>
      <c r="M47" s="225"/>
      <c r="N47" s="21">
        <f t="shared" si="10"/>
        <v>0</v>
      </c>
      <c r="P47" s="601"/>
      <c r="Q47" s="602"/>
      <c r="R47" s="602"/>
      <c r="S47" s="602"/>
      <c r="T47" s="603"/>
    </row>
    <row r="48" spans="1:20" s="7" customFormat="1" ht="12">
      <c r="A48"/>
      <c r="C48" s="1" t="s">
        <v>306</v>
      </c>
      <c r="D48" s="514"/>
      <c r="E48" s="266">
        <f>_xlfn.IFNA(VLOOKUP($C48,'Facteurs d''émission'!$D$2:$I$340,2,FALSE),"Non renseigné")</f>
        <v>0</v>
      </c>
      <c r="F48"/>
      <c r="G48" s="5">
        <f t="shared" si="11"/>
        <v>0</v>
      </c>
      <c r="I48" s="230">
        <f>_xlfn.IFNA(VLOOKUP($C48,'Facteurs d''émission'!$D$2:$I$340,4,FALSE),"Non présent dans la base")</f>
        <v>0</v>
      </c>
      <c r="J48" s="224"/>
      <c r="K48" s="21">
        <f t="shared" si="8"/>
        <v>0</v>
      </c>
      <c r="L48" s="7" t="str">
        <f t="shared" si="9"/>
        <v/>
      </c>
      <c r="M48" s="225"/>
      <c r="N48" s="21">
        <f t="shared" si="10"/>
        <v>0</v>
      </c>
      <c r="P48" s="601"/>
      <c r="Q48" s="602"/>
      <c r="R48" s="602"/>
      <c r="S48" s="602"/>
      <c r="T48" s="603"/>
    </row>
    <row r="49" spans="1:43" s="7" customFormat="1" ht="12">
      <c r="A49"/>
      <c r="C49" s="1" t="s">
        <v>306</v>
      </c>
      <c r="D49" s="514"/>
      <c r="E49" s="266">
        <f>_xlfn.IFNA(VLOOKUP($C49,'Facteurs d''émission'!$D$2:$I$340,2,FALSE),"Non renseigné")</f>
        <v>0</v>
      </c>
      <c r="F49"/>
      <c r="G49" s="5">
        <f t="shared" si="11"/>
        <v>0</v>
      </c>
      <c r="I49" s="230">
        <f>_xlfn.IFNA(VLOOKUP($C49,'Facteurs d''émission'!$D$2:$I$340,4,FALSE),"Non présent dans la base")</f>
        <v>0</v>
      </c>
      <c r="J49" s="224"/>
      <c r="K49" s="21">
        <f t="shared" si="8"/>
        <v>0</v>
      </c>
      <c r="L49" s="7" t="str">
        <f t="shared" si="9"/>
        <v/>
      </c>
      <c r="M49" s="225"/>
      <c r="N49" s="21">
        <f t="shared" si="10"/>
        <v>0</v>
      </c>
      <c r="P49" s="604"/>
      <c r="Q49" s="605"/>
      <c r="R49" s="605"/>
      <c r="S49" s="605"/>
      <c r="T49" s="606"/>
    </row>
    <row r="50" spans="1:43" s="7" customFormat="1" ht="12">
      <c r="A50"/>
      <c r="C50" s="52" t="s">
        <v>25</v>
      </c>
      <c r="D50" s="513">
        <f>SUM(D44:D49)</f>
        <v>135</v>
      </c>
      <c r="E50" s="267"/>
      <c r="F50"/>
      <c r="G50" s="51">
        <f>SUM(G44:G49)</f>
        <v>305100</v>
      </c>
      <c r="I50" s="570" t="str">
        <f>IF(COUNTA(D44:D49)&gt;COUNTIF(L44:L49,"ok"),"! Remplir une incertitude !","")</f>
        <v>! Remplir une incertitude !</v>
      </c>
      <c r="J50" s="571"/>
      <c r="K50" s="54">
        <f>SUM(K44:K49)</f>
        <v>91530.000000000015</v>
      </c>
      <c r="M50" s="1"/>
      <c r="N50" s="49">
        <f>SUM(N44:N49)</f>
        <v>0</v>
      </c>
      <c r="P50" s="594" t="str">
        <f>IF(N50&gt;0,IF(#REF!="","Attention: vous devez planifier une action afin de remplir votre objectif",""),"")</f>
        <v/>
      </c>
      <c r="Q50" s="594"/>
      <c r="R50" s="594"/>
      <c r="S50" s="594"/>
      <c r="T50" s="594"/>
    </row>
    <row r="51" spans="1:43" s="7" customFormat="1" ht="12">
      <c r="C51" s="12"/>
      <c r="D51" s="12"/>
      <c r="E51" s="12"/>
      <c r="F51" s="12"/>
      <c r="G51" s="63"/>
      <c r="I51" s="64"/>
      <c r="K51" s="63"/>
      <c r="N51" s="63"/>
      <c r="P51" s="9"/>
      <c r="Q51" s="9"/>
      <c r="R51" s="9"/>
      <c r="S51" s="9"/>
      <c r="T51" s="9"/>
    </row>
    <row r="52" spans="1:43" s="7" customFormat="1" ht="12">
      <c r="C52" s="12"/>
      <c r="D52" s="12"/>
      <c r="E52" s="12"/>
      <c r="F52" s="12"/>
      <c r="G52" s="63"/>
      <c r="I52" s="64"/>
      <c r="K52" s="63"/>
      <c r="N52" s="63"/>
      <c r="P52" s="9"/>
      <c r="Q52" s="9"/>
      <c r="R52" s="9"/>
      <c r="S52" s="9"/>
      <c r="T52" s="9"/>
    </row>
    <row r="53" spans="1:43" s="7" customFormat="1">
      <c r="G53" s="11"/>
      <c r="K53" s="11"/>
      <c r="N53" s="11"/>
    </row>
    <row r="54" spans="1:43" s="65" customFormat="1" ht="15.6">
      <c r="A54" s="64"/>
      <c r="B54" s="64"/>
      <c r="C54" s="675" t="s">
        <v>133</v>
      </c>
      <c r="D54" s="675"/>
      <c r="E54" s="675"/>
      <c r="F54" s="675"/>
      <c r="G54" s="675"/>
      <c r="H54" s="675"/>
      <c r="I54" s="675"/>
      <c r="J54" s="675"/>
      <c r="K54" s="675"/>
      <c r="L54" s="20"/>
      <c r="N54" s="111"/>
    </row>
    <row r="55" spans="1:43" s="65" customFormat="1">
      <c r="G55" s="111"/>
      <c r="K55" s="111"/>
      <c r="N55" s="111"/>
    </row>
    <row r="56" spans="1:43" s="64" customFormat="1" ht="12">
      <c r="A56" s="65"/>
      <c r="B56" s="65"/>
      <c r="C56" s="12" t="s">
        <v>134</v>
      </c>
      <c r="D56" s="12"/>
      <c r="E56" s="572" t="s">
        <v>19</v>
      </c>
      <c r="F56" s="572"/>
      <c r="G56" s="573"/>
      <c r="H56" s="12"/>
      <c r="I56" s="553" t="s">
        <v>61</v>
      </c>
      <c r="J56" s="553"/>
      <c r="K56" s="553"/>
      <c r="L56" s="12"/>
      <c r="M56" s="588" t="s">
        <v>111</v>
      </c>
      <c r="N56" s="573"/>
      <c r="O56" s="573"/>
      <c r="P56" s="13" t="s">
        <v>12</v>
      </c>
    </row>
    <row r="57" spans="1:43" s="64" customFormat="1">
      <c r="C57" s="661" t="s">
        <v>129</v>
      </c>
      <c r="D57" s="662"/>
      <c r="E57" s="329" t="s">
        <v>232</v>
      </c>
      <c r="F57" s="330" t="s">
        <v>304</v>
      </c>
      <c r="G57" s="331" t="s">
        <v>66</v>
      </c>
      <c r="H57" s="66"/>
      <c r="I57" s="330" t="s">
        <v>232</v>
      </c>
      <c r="J57" s="330" t="s">
        <v>304</v>
      </c>
      <c r="K57" s="330" t="s">
        <v>49</v>
      </c>
      <c r="L57" s="66"/>
      <c r="M57" s="330" t="s">
        <v>232</v>
      </c>
      <c r="N57" s="330" t="s">
        <v>304</v>
      </c>
      <c r="O57" s="330" t="s">
        <v>48</v>
      </c>
      <c r="P57" s="330" t="s">
        <v>304</v>
      </c>
      <c r="Q57" s="88"/>
    </row>
    <row r="58" spans="1:43" s="64" customFormat="1">
      <c r="C58" s="663" t="s">
        <v>120</v>
      </c>
      <c r="D58" s="663"/>
      <c r="E58" s="68">
        <f>G24</f>
        <v>829488</v>
      </c>
      <c r="F58" s="69">
        <f>E58/1000</f>
        <v>829.48800000000006</v>
      </c>
      <c r="G58" s="112">
        <f>IF(F$61=0,"",F58/F$61)</f>
        <v>0.66149310172334497</v>
      </c>
      <c r="H58" s="65"/>
      <c r="I58" s="69">
        <f>K24</f>
        <v>41474.400000000038</v>
      </c>
      <c r="J58" s="69">
        <f>I58/1000</f>
        <v>41.474400000000038</v>
      </c>
      <c r="K58" s="112">
        <f>IF(E58=0,"",I58/E58)</f>
        <v>5.0000000000000044E-2</v>
      </c>
      <c r="L58" s="65"/>
      <c r="M58" s="69">
        <f>N24</f>
        <v>0</v>
      </c>
      <c r="N58" s="69">
        <f>M58/1000</f>
        <v>0</v>
      </c>
      <c r="O58" s="71">
        <f>IF($E58=0,"",M58/$E58)</f>
        <v>0</v>
      </c>
      <c r="P58" s="72">
        <f>F58-N58</f>
        <v>829.48800000000006</v>
      </c>
    </row>
    <row r="59" spans="1:43" s="64" customFormat="1">
      <c r="C59" s="663" t="s">
        <v>50</v>
      </c>
      <c r="D59" s="663"/>
      <c r="E59" s="68">
        <f>G36</f>
        <v>119375.19000000002</v>
      </c>
      <c r="F59" s="69">
        <f>E59/1000</f>
        <v>119.37519000000002</v>
      </c>
      <c r="G59" s="112">
        <f>IF(F$61=0,"",F59/F$61)</f>
        <v>9.5198320773674405E-2</v>
      </c>
      <c r="H59" s="65"/>
      <c r="I59" s="69">
        <f>K36</f>
        <v>11937.518999999998</v>
      </c>
      <c r="J59" s="69">
        <f>I59/1000</f>
        <v>11.937518999999998</v>
      </c>
      <c r="K59" s="112">
        <f>IF(E59=0,"",I59/E59)</f>
        <v>9.9999999999999978E-2</v>
      </c>
      <c r="L59" s="65"/>
      <c r="M59" s="69">
        <f>N36</f>
        <v>0</v>
      </c>
      <c r="N59" s="69">
        <f>M59/1000</f>
        <v>0</v>
      </c>
      <c r="O59" s="71">
        <f>IF($E59=0,"",M59/$E59)</f>
        <v>0</v>
      </c>
      <c r="P59" s="72">
        <f>F59-N59</f>
        <v>119.37519000000002</v>
      </c>
    </row>
    <row r="60" spans="1:43" s="64" customFormat="1">
      <c r="C60" s="663" t="s">
        <v>23</v>
      </c>
      <c r="D60" s="663"/>
      <c r="E60" s="74">
        <f>G50</f>
        <v>305100</v>
      </c>
      <c r="F60" s="69">
        <f>E60/1000</f>
        <v>305.10000000000002</v>
      </c>
      <c r="G60" s="112">
        <f>IF(F$61=0,"",F60/F$61)</f>
        <v>0.24330857750298079</v>
      </c>
      <c r="H60" s="65"/>
      <c r="I60" s="69">
        <f>K50</f>
        <v>91530.000000000015</v>
      </c>
      <c r="J60" s="69">
        <f>I60/1000</f>
        <v>91.530000000000015</v>
      </c>
      <c r="K60" s="112">
        <f>IF(E60=0,"",I60/E60)</f>
        <v>0.30000000000000004</v>
      </c>
      <c r="L60" s="65"/>
      <c r="M60" s="69">
        <f>N50</f>
        <v>0</v>
      </c>
      <c r="N60" s="69">
        <f>M60/1000</f>
        <v>0</v>
      </c>
      <c r="O60" s="71">
        <f>IF($E60=0,"",M60/$E60)</f>
        <v>0</v>
      </c>
      <c r="P60" s="72">
        <f>F60-N60</f>
        <v>305.10000000000002</v>
      </c>
    </row>
    <row r="61" spans="1:43" s="79" customFormat="1" ht="13.2">
      <c r="C61" s="52" t="s">
        <v>11</v>
      </c>
      <c r="D61" s="61"/>
      <c r="E61" s="54">
        <f>SUM(E58:E60)</f>
        <v>1253963.19</v>
      </c>
      <c r="F61" s="54">
        <f>SUM(F58:F60)</f>
        <v>1253.9631899999999</v>
      </c>
      <c r="G61" s="77">
        <f>SUM(G58:G60)</f>
        <v>1.0000000000000002</v>
      </c>
      <c r="H61" s="12"/>
      <c r="I61" s="51">
        <f>SUM(I58:I60)</f>
        <v>144941.91900000005</v>
      </c>
      <c r="J61" s="54">
        <f>SUM(J58:J60)</f>
        <v>144.94191900000004</v>
      </c>
      <c r="K61" s="75">
        <f>IF(E61=0,"",I61/E61)</f>
        <v>0.11558706041442895</v>
      </c>
      <c r="L61" s="12"/>
      <c r="M61" s="51">
        <f>SUM(M58:M60)</f>
        <v>0</v>
      </c>
      <c r="N61" s="51">
        <f>SUM(N58:N60)</f>
        <v>0</v>
      </c>
      <c r="O61" s="77">
        <f>IF($E61=0,"",M61/$E61)</f>
        <v>0</v>
      </c>
      <c r="P61" s="78">
        <f>SUM(P58:P60)</f>
        <v>1253.9631899999999</v>
      </c>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row>
    <row r="62" spans="1:43" s="64" customFormat="1" ht="12">
      <c r="C62" s="12"/>
      <c r="D62" s="12"/>
      <c r="E62" s="12"/>
      <c r="F62" s="12"/>
      <c r="G62" s="63"/>
      <c r="H62" s="12"/>
      <c r="I62" s="12"/>
      <c r="J62" s="12"/>
      <c r="K62" s="63"/>
      <c r="L62" s="12"/>
      <c r="M62" s="76"/>
      <c r="N62" s="87"/>
    </row>
    <row r="63" spans="1:43" s="64" customFormat="1" ht="12">
      <c r="C63" s="12"/>
      <c r="D63" s="12"/>
      <c r="E63" s="12"/>
      <c r="F63" s="12"/>
      <c r="G63" s="63"/>
      <c r="H63" s="12"/>
      <c r="I63" s="12"/>
      <c r="J63" s="12"/>
      <c r="K63" s="63"/>
      <c r="L63" s="12"/>
      <c r="M63" s="76"/>
      <c r="N63" s="87"/>
    </row>
    <row r="64" spans="1:43" s="64" customFormat="1" ht="12">
      <c r="C64" s="12"/>
      <c r="D64" s="12"/>
      <c r="E64" s="12"/>
      <c r="F64" s="12"/>
      <c r="G64" s="63"/>
      <c r="H64" s="12"/>
      <c r="I64" s="12"/>
      <c r="J64" s="12"/>
      <c r="K64" s="63"/>
      <c r="L64" s="12"/>
      <c r="M64" s="76"/>
      <c r="N64" s="87"/>
    </row>
    <row r="65" spans="3:14" s="64" customFormat="1" ht="12">
      <c r="C65" s="12"/>
      <c r="D65" s="12"/>
      <c r="E65" s="12"/>
      <c r="F65" s="12"/>
      <c r="G65" s="63"/>
      <c r="H65" s="12"/>
      <c r="I65" s="12"/>
      <c r="J65" s="12"/>
      <c r="K65" s="63"/>
      <c r="L65" s="12"/>
      <c r="M65" s="76"/>
      <c r="N65" s="87"/>
    </row>
    <row r="66" spans="3:14" s="64" customFormat="1" ht="12">
      <c r="C66" s="12"/>
      <c r="D66" s="12"/>
      <c r="E66" s="12"/>
      <c r="F66" s="12"/>
      <c r="G66" s="63"/>
      <c r="H66" s="12"/>
      <c r="I66" s="12"/>
      <c r="J66" s="12"/>
      <c r="K66" s="63"/>
      <c r="L66" s="12"/>
      <c r="M66" s="76"/>
      <c r="N66" s="87"/>
    </row>
    <row r="67" spans="3:14" s="64" customFormat="1" ht="12">
      <c r="C67" s="12"/>
      <c r="D67" s="12"/>
      <c r="E67" s="12"/>
      <c r="F67" s="12"/>
      <c r="G67" s="63"/>
      <c r="H67" s="12"/>
      <c r="I67" s="12"/>
      <c r="J67" s="12"/>
      <c r="K67" s="148"/>
      <c r="N67" s="87"/>
    </row>
    <row r="68" spans="3:14" s="64" customFormat="1" ht="12">
      <c r="C68" s="12"/>
      <c r="D68" s="12"/>
      <c r="E68" s="12"/>
      <c r="F68" s="12"/>
      <c r="G68" s="63"/>
      <c r="H68" s="12"/>
      <c r="I68" s="12"/>
      <c r="J68" s="12"/>
      <c r="K68" s="148"/>
      <c r="N68" s="87"/>
    </row>
    <row r="69" spans="3:14" s="7" customFormat="1" ht="12">
      <c r="C69" s="80"/>
      <c r="D69" s="80"/>
      <c r="E69" s="80"/>
      <c r="F69" s="80"/>
      <c r="G69" s="136"/>
      <c r="H69" s="80"/>
      <c r="I69" s="80"/>
      <c r="J69" s="80"/>
      <c r="K69" s="136"/>
      <c r="L69" s="80"/>
      <c r="M69" s="80"/>
      <c r="N69" s="11"/>
    </row>
    <row r="70" spans="3:14" s="7" customFormat="1" ht="12">
      <c r="C70" s="80"/>
      <c r="D70" s="80"/>
      <c r="E70" s="80"/>
      <c r="F70" s="80"/>
      <c r="G70" s="136"/>
      <c r="H70" s="80"/>
      <c r="I70" s="80"/>
      <c r="J70" s="80"/>
      <c r="K70" s="136"/>
      <c r="L70" s="80"/>
      <c r="M70" s="80"/>
      <c r="N70" s="11"/>
    </row>
    <row r="71" spans="3:14" s="7" customFormat="1" ht="12">
      <c r="C71" s="80"/>
      <c r="D71" s="80"/>
      <c r="E71" s="80"/>
      <c r="F71" s="80"/>
      <c r="G71" s="136"/>
      <c r="H71" s="80"/>
      <c r="I71" s="80"/>
      <c r="J71" s="80"/>
      <c r="K71" s="136"/>
      <c r="L71" s="80"/>
      <c r="M71" s="80"/>
      <c r="N71" s="11"/>
    </row>
    <row r="72" spans="3:14" s="7" customFormat="1" ht="12">
      <c r="C72" s="80"/>
      <c r="D72" s="80"/>
      <c r="E72" s="80"/>
      <c r="F72" s="80"/>
      <c r="G72" s="136"/>
      <c r="H72" s="80"/>
      <c r="I72" s="80"/>
      <c r="J72" s="80"/>
      <c r="K72" s="136"/>
      <c r="L72" s="80"/>
      <c r="M72" s="80"/>
      <c r="N72" s="11"/>
    </row>
    <row r="73" spans="3:14" s="7" customFormat="1" ht="12">
      <c r="C73" s="80"/>
      <c r="D73" s="80"/>
      <c r="E73" s="80"/>
      <c r="F73" s="80"/>
      <c r="G73" s="136"/>
      <c r="H73" s="80"/>
      <c r="I73" s="80"/>
      <c r="J73" s="80"/>
      <c r="K73" s="136"/>
      <c r="L73" s="80"/>
      <c r="M73" s="80"/>
      <c r="N73" s="11"/>
    </row>
    <row r="74" spans="3:14" s="7" customFormat="1" ht="12">
      <c r="C74" s="80"/>
      <c r="D74" s="80"/>
      <c r="E74" s="80"/>
      <c r="F74" s="80"/>
      <c r="G74" s="136"/>
      <c r="H74" s="80"/>
      <c r="I74" s="80"/>
      <c r="J74" s="80"/>
      <c r="K74" s="136"/>
      <c r="L74" s="80"/>
      <c r="M74" s="80"/>
      <c r="N74" s="11"/>
    </row>
    <row r="75" spans="3:14" s="7" customFormat="1" ht="12">
      <c r="C75" s="80"/>
      <c r="D75" s="80"/>
      <c r="E75" s="80"/>
      <c r="F75" s="80"/>
      <c r="G75" s="136"/>
      <c r="H75" s="80"/>
      <c r="I75" s="80"/>
      <c r="J75" s="80"/>
      <c r="K75" s="136"/>
      <c r="L75" s="80"/>
      <c r="M75" s="80"/>
      <c r="N75" s="11"/>
    </row>
    <row r="76" spans="3:14" s="7" customFormat="1" ht="12">
      <c r="C76" s="80"/>
      <c r="D76" s="80"/>
      <c r="E76" s="80"/>
      <c r="F76" s="80"/>
      <c r="G76" s="136"/>
      <c r="H76" s="80"/>
      <c r="I76" s="80"/>
      <c r="J76" s="80"/>
      <c r="K76" s="136"/>
      <c r="L76" s="80"/>
      <c r="M76" s="80"/>
      <c r="N76" s="11"/>
    </row>
    <row r="77" spans="3:14" s="7" customFormat="1" ht="12">
      <c r="C77" s="80"/>
      <c r="D77" s="80"/>
      <c r="E77" s="80"/>
      <c r="F77" s="80"/>
      <c r="G77" s="136"/>
      <c r="H77" s="80"/>
      <c r="I77" s="80"/>
      <c r="J77" s="80"/>
      <c r="K77" s="136"/>
      <c r="L77" s="80"/>
      <c r="M77" s="80"/>
      <c r="N77" s="11"/>
    </row>
    <row r="78" spans="3:14" s="7" customFormat="1" ht="12">
      <c r="C78" s="80"/>
      <c r="D78" s="80"/>
      <c r="E78" s="80"/>
      <c r="F78" s="80"/>
      <c r="G78" s="136"/>
      <c r="H78" s="80"/>
      <c r="I78" s="80"/>
      <c r="J78" s="80"/>
      <c r="K78" s="136"/>
      <c r="L78" s="80"/>
      <c r="M78" s="80"/>
      <c r="N78" s="11"/>
    </row>
    <row r="79" spans="3:14" s="7" customFormat="1" ht="12">
      <c r="C79" s="80"/>
      <c r="D79" s="80"/>
      <c r="E79" s="80"/>
      <c r="F79" s="80"/>
      <c r="G79" s="136"/>
      <c r="H79" s="80"/>
      <c r="I79" s="80"/>
      <c r="J79" s="80"/>
      <c r="K79" s="136"/>
      <c r="L79" s="80"/>
      <c r="M79" s="80"/>
      <c r="N79" s="11"/>
    </row>
    <row r="80" spans="3:14" s="7" customFormat="1" ht="12">
      <c r="C80" s="80"/>
      <c r="D80" s="80"/>
      <c r="E80" s="80"/>
      <c r="F80" s="80"/>
      <c r="G80" s="136"/>
      <c r="H80" s="80"/>
      <c r="I80" s="80"/>
      <c r="J80" s="80"/>
      <c r="K80" s="136"/>
      <c r="L80" s="80"/>
      <c r="M80" s="80"/>
      <c r="N80" s="11"/>
    </row>
    <row r="81" spans="3:14" s="7" customFormat="1" ht="12">
      <c r="C81" s="80"/>
      <c r="D81" s="80"/>
      <c r="E81" s="80"/>
      <c r="F81" s="80"/>
      <c r="G81" s="136"/>
      <c r="H81" s="80"/>
      <c r="I81" s="80"/>
      <c r="J81" s="80"/>
      <c r="K81" s="136"/>
      <c r="L81" s="80"/>
      <c r="M81" s="80"/>
      <c r="N81" s="11"/>
    </row>
    <row r="82" spans="3:14" s="7" customFormat="1" ht="12">
      <c r="C82" s="80"/>
      <c r="D82" s="80"/>
      <c r="E82" s="80"/>
      <c r="F82" s="80"/>
      <c r="G82" s="136"/>
      <c r="H82" s="80"/>
      <c r="I82" s="80"/>
      <c r="J82" s="80"/>
      <c r="K82" s="136"/>
      <c r="L82" s="80"/>
      <c r="M82" s="80"/>
      <c r="N82" s="11"/>
    </row>
    <row r="83" spans="3:14" s="7" customFormat="1" ht="12">
      <c r="C83" s="80"/>
      <c r="D83" s="80"/>
      <c r="E83" s="80"/>
      <c r="F83" s="80"/>
      <c r="G83" s="136"/>
      <c r="H83" s="80"/>
      <c r="I83" s="80"/>
      <c r="J83" s="80"/>
      <c r="K83" s="136"/>
      <c r="L83" s="80"/>
      <c r="M83" s="80"/>
      <c r="N83" s="11"/>
    </row>
    <row r="84" spans="3:14" s="7" customFormat="1" ht="12">
      <c r="C84" s="80"/>
      <c r="D84" s="80"/>
      <c r="E84" s="80"/>
      <c r="F84" s="80"/>
      <c r="G84" s="136"/>
      <c r="H84" s="80"/>
      <c r="I84" s="80"/>
      <c r="J84" s="80"/>
      <c r="K84" s="136"/>
      <c r="L84" s="80"/>
      <c r="M84" s="80"/>
      <c r="N84" s="11"/>
    </row>
    <row r="85" spans="3:14" s="7" customFormat="1" ht="12">
      <c r="C85" s="80"/>
      <c r="D85" s="80"/>
      <c r="E85" s="80"/>
      <c r="F85" s="80"/>
      <c r="G85" s="136"/>
      <c r="H85" s="80"/>
      <c r="I85" s="80"/>
      <c r="J85" s="80"/>
      <c r="K85" s="136"/>
      <c r="L85" s="80"/>
      <c r="M85" s="80"/>
      <c r="N85" s="11"/>
    </row>
    <row r="86" spans="3:14" s="7" customFormat="1" ht="12">
      <c r="C86" s="80"/>
      <c r="D86" s="80"/>
      <c r="E86" s="80"/>
      <c r="F86" s="80"/>
      <c r="G86" s="136"/>
      <c r="H86" s="80"/>
      <c r="I86" s="80"/>
      <c r="J86" s="80"/>
      <c r="K86" s="136"/>
      <c r="L86" s="80"/>
      <c r="M86" s="80"/>
      <c r="N86" s="11"/>
    </row>
    <row r="87" spans="3:14" s="7" customFormat="1" ht="12">
      <c r="C87" s="80"/>
      <c r="D87" s="80"/>
      <c r="E87" s="80"/>
      <c r="F87" s="80"/>
      <c r="G87" s="136"/>
      <c r="H87" s="80"/>
      <c r="I87" s="80"/>
      <c r="J87" s="80"/>
      <c r="K87" s="136"/>
      <c r="L87" s="80"/>
      <c r="M87" s="80"/>
      <c r="N87" s="11"/>
    </row>
    <row r="88" spans="3:14" s="7" customFormat="1" ht="12">
      <c r="C88" s="80"/>
      <c r="D88" s="80"/>
      <c r="E88" s="80"/>
      <c r="F88" s="80"/>
      <c r="G88" s="136"/>
      <c r="H88" s="80"/>
      <c r="I88" s="80"/>
      <c r="J88" s="80"/>
      <c r="K88" s="136"/>
      <c r="L88" s="80"/>
      <c r="M88" s="80"/>
      <c r="N88" s="11"/>
    </row>
    <row r="89" spans="3:14" s="7" customFormat="1" ht="12">
      <c r="C89" s="80"/>
      <c r="D89" s="80"/>
      <c r="E89" s="80"/>
      <c r="F89" s="80"/>
      <c r="G89" s="136"/>
      <c r="H89" s="80"/>
      <c r="I89" s="80"/>
      <c r="J89" s="80"/>
      <c r="K89" s="136"/>
      <c r="L89" s="80"/>
      <c r="M89" s="80"/>
      <c r="N89" s="11"/>
    </row>
    <row r="90" spans="3:14" s="7" customFormat="1" ht="12">
      <c r="C90" s="80"/>
      <c r="D90" s="80"/>
      <c r="E90" s="80"/>
      <c r="F90" s="80"/>
      <c r="G90" s="136"/>
      <c r="H90" s="80"/>
      <c r="I90" s="80"/>
      <c r="J90" s="80"/>
      <c r="K90" s="136"/>
      <c r="L90" s="80"/>
      <c r="M90" s="80"/>
      <c r="N90" s="11"/>
    </row>
    <row r="91" spans="3:14" s="7" customFormat="1" ht="12">
      <c r="C91" s="80"/>
      <c r="D91" s="80"/>
      <c r="E91" s="80"/>
      <c r="F91" s="80"/>
      <c r="G91" s="136"/>
      <c r="H91" s="80"/>
      <c r="I91" s="80"/>
      <c r="J91" s="80"/>
      <c r="K91" s="136"/>
      <c r="L91" s="80"/>
      <c r="M91" s="80"/>
      <c r="N91" s="11"/>
    </row>
    <row r="92" spans="3:14" s="7" customFormat="1" ht="12">
      <c r="C92" s="80"/>
      <c r="D92" s="80"/>
      <c r="E92" s="80"/>
      <c r="F92" s="80"/>
      <c r="G92" s="136"/>
      <c r="H92" s="80"/>
      <c r="I92" s="80"/>
      <c r="J92" s="80"/>
      <c r="K92" s="136"/>
      <c r="L92" s="80"/>
      <c r="M92" s="80"/>
      <c r="N92" s="11"/>
    </row>
    <row r="93" spans="3:14" s="7" customFormat="1" ht="12">
      <c r="C93" s="80"/>
      <c r="D93" s="80"/>
      <c r="E93" s="80"/>
      <c r="F93" s="80"/>
      <c r="G93" s="136"/>
      <c r="H93" s="80"/>
      <c r="I93" s="80"/>
      <c r="J93" s="80"/>
      <c r="K93" s="136"/>
      <c r="L93" s="80"/>
      <c r="M93" s="80"/>
      <c r="N93" s="11"/>
    </row>
    <row r="94" spans="3:14" s="7" customFormat="1" ht="12">
      <c r="C94" s="80"/>
      <c r="D94" s="80"/>
      <c r="E94" s="80"/>
      <c r="F94" s="80"/>
      <c r="G94" s="136"/>
      <c r="H94" s="80"/>
      <c r="I94" s="80"/>
      <c r="J94" s="80"/>
      <c r="K94" s="136"/>
      <c r="L94" s="80"/>
      <c r="M94" s="80"/>
      <c r="N94" s="11"/>
    </row>
    <row r="95" spans="3:14" s="7" customFormat="1" ht="12">
      <c r="C95" s="80"/>
      <c r="D95" s="80"/>
      <c r="E95" s="80"/>
      <c r="F95" s="80"/>
      <c r="G95" s="136"/>
      <c r="H95" s="80"/>
      <c r="I95" s="80"/>
      <c r="J95" s="80"/>
      <c r="K95" s="136"/>
      <c r="L95" s="80"/>
      <c r="M95" s="80"/>
      <c r="N95" s="11"/>
    </row>
    <row r="96" spans="3:14" s="7" customFormat="1" ht="12">
      <c r="C96" s="80"/>
      <c r="D96" s="80"/>
      <c r="E96" s="80"/>
      <c r="F96" s="80"/>
      <c r="G96" s="136"/>
      <c r="H96" s="80"/>
      <c r="I96" s="80"/>
      <c r="J96" s="80"/>
      <c r="K96" s="136"/>
      <c r="L96" s="80"/>
      <c r="M96" s="80"/>
      <c r="N96" s="11"/>
    </row>
    <row r="97" spans="3:20" s="7" customFormat="1" ht="12">
      <c r="C97" s="80"/>
      <c r="D97" s="80"/>
      <c r="E97" s="80"/>
      <c r="F97" s="80"/>
      <c r="G97" s="136"/>
      <c r="H97" s="80"/>
      <c r="I97" s="80"/>
      <c r="J97" s="80"/>
      <c r="K97" s="136"/>
      <c r="L97" s="80"/>
      <c r="M97" s="80"/>
      <c r="N97" s="11"/>
    </row>
    <row r="98" spans="3:20" s="7" customFormat="1" ht="12">
      <c r="C98" s="80"/>
      <c r="D98" s="80"/>
      <c r="E98" s="80"/>
      <c r="F98" s="80"/>
      <c r="G98" s="136"/>
      <c r="H98" s="80"/>
      <c r="I98" s="80"/>
      <c r="J98" s="80"/>
      <c r="K98" s="136"/>
      <c r="L98" s="80"/>
      <c r="M98" s="80"/>
      <c r="N98" s="11"/>
    </row>
    <row r="99" spans="3:20" s="7" customFormat="1" ht="12">
      <c r="C99" s="80"/>
      <c r="D99" s="80"/>
      <c r="E99" s="80"/>
      <c r="F99" s="80"/>
      <c r="G99" s="136"/>
      <c r="H99" s="80"/>
      <c r="I99" s="80"/>
      <c r="J99" s="80"/>
      <c r="K99" s="136"/>
      <c r="L99" s="80"/>
      <c r="M99" s="80"/>
      <c r="N99" s="11"/>
    </row>
    <row r="100" spans="3:20" s="7" customFormat="1" ht="12.75" customHeight="1">
      <c r="C100" s="20"/>
      <c r="D100" s="20"/>
      <c r="E100" s="20"/>
      <c r="F100" s="20"/>
      <c r="G100" s="11"/>
      <c r="H100" s="11"/>
      <c r="K100" s="11"/>
      <c r="N100" s="11"/>
    </row>
    <row r="101" spans="3:20" s="7" customFormat="1" ht="12.75" customHeight="1">
      <c r="C101" s="20"/>
      <c r="D101" s="20"/>
      <c r="E101" s="20"/>
      <c r="F101" s="20"/>
      <c r="G101" s="11"/>
      <c r="H101" s="11"/>
      <c r="K101" s="11"/>
      <c r="N101" s="11"/>
    </row>
    <row r="102" spans="3:20" s="7" customFormat="1" ht="12.75" customHeight="1">
      <c r="C102" s="20"/>
      <c r="D102" s="20"/>
      <c r="E102" s="20"/>
      <c r="F102" s="20"/>
      <c r="G102" s="11"/>
      <c r="H102" s="11"/>
      <c r="K102" s="11"/>
      <c r="N102" s="11"/>
    </row>
    <row r="103" spans="3:20" s="7" customFormat="1" ht="22.8">
      <c r="C103" s="674" t="s">
        <v>55</v>
      </c>
      <c r="D103" s="674"/>
      <c r="E103" s="674"/>
      <c r="F103" s="674"/>
      <c r="G103" s="674"/>
      <c r="H103" s="674"/>
      <c r="I103" s="674"/>
      <c r="J103" s="674"/>
      <c r="K103" s="674"/>
      <c r="L103" s="674"/>
      <c r="N103" s="11"/>
    </row>
    <row r="104" spans="3:20" s="7" customFormat="1" ht="12.75" customHeight="1">
      <c r="G104" s="11"/>
      <c r="K104" s="11"/>
      <c r="N104" s="11"/>
    </row>
    <row r="105" spans="3:20" s="7" customFormat="1" ht="12.75" customHeight="1">
      <c r="G105" s="11"/>
      <c r="K105" s="11"/>
      <c r="N105" s="11"/>
    </row>
    <row r="106" spans="3:20" s="7" customFormat="1" ht="12.75" customHeight="1">
      <c r="E106" s="12" t="s">
        <v>280</v>
      </c>
      <c r="G106" s="11"/>
      <c r="K106" s="11"/>
      <c r="N106" s="11"/>
    </row>
    <row r="107" spans="3:20" s="7" customFormat="1" ht="12.75" customHeight="1">
      <c r="G107" s="11"/>
      <c r="K107" s="11"/>
      <c r="N107" s="11"/>
    </row>
    <row r="108" spans="3:20" s="7" customFormat="1">
      <c r="G108" s="11"/>
      <c r="K108" s="11"/>
      <c r="N108" s="11"/>
    </row>
    <row r="109" spans="3:20" s="7" customFormat="1" ht="12.75" customHeight="1">
      <c r="C109" s="276" t="s">
        <v>135</v>
      </c>
      <c r="D109" s="12"/>
      <c r="G109" s="63" t="s">
        <v>307</v>
      </c>
      <c r="H109" s="12"/>
      <c r="I109" s="12" t="s">
        <v>61</v>
      </c>
      <c r="J109" s="12"/>
      <c r="K109" s="63"/>
      <c r="M109" s="42" t="s">
        <v>332</v>
      </c>
      <c r="N109" s="63"/>
      <c r="O109" s="12"/>
      <c r="P109" s="12" t="s">
        <v>109</v>
      </c>
    </row>
    <row r="110" spans="3:20" s="7" customFormat="1" ht="12.75" customHeight="1">
      <c r="C110" s="560" t="s">
        <v>92</v>
      </c>
      <c r="D110" s="560" t="s">
        <v>284</v>
      </c>
      <c r="E110" s="563" t="s">
        <v>285</v>
      </c>
      <c r="F110"/>
      <c r="G110" s="566" t="s">
        <v>232</v>
      </c>
      <c r="I110" s="560" t="s">
        <v>286</v>
      </c>
      <c r="J110" s="560" t="s">
        <v>287</v>
      </c>
      <c r="K110" s="567" t="s">
        <v>232</v>
      </c>
      <c r="L110" s="13"/>
      <c r="M110" s="560" t="s">
        <v>288</v>
      </c>
      <c r="N110" s="567" t="s">
        <v>232</v>
      </c>
      <c r="P110" s="554" t="s">
        <v>165</v>
      </c>
      <c r="Q110" s="554"/>
      <c r="R110" s="554"/>
      <c r="S110" s="554"/>
      <c r="T110" s="554"/>
    </row>
    <row r="111" spans="3:20" s="7" customFormat="1" ht="12.75" customHeight="1">
      <c r="C111" s="561"/>
      <c r="D111" s="561"/>
      <c r="E111" s="564"/>
      <c r="F111"/>
      <c r="G111" s="566"/>
      <c r="I111" s="561"/>
      <c r="J111" s="561"/>
      <c r="K111" s="568"/>
      <c r="L111" s="13"/>
      <c r="M111" s="561"/>
      <c r="N111" s="568"/>
      <c r="P111" s="598" t="s">
        <v>275</v>
      </c>
      <c r="Q111" s="612"/>
      <c r="R111" s="612"/>
      <c r="S111" s="612"/>
      <c r="T111" s="613"/>
    </row>
    <row r="112" spans="3:20" s="7" customFormat="1" ht="12.75" customHeight="1">
      <c r="C112" s="562"/>
      <c r="D112" s="562"/>
      <c r="E112" s="565"/>
      <c r="F112"/>
      <c r="G112" s="566"/>
      <c r="I112" s="562"/>
      <c r="J112" s="562"/>
      <c r="K112" s="569"/>
      <c r="L112" s="9"/>
      <c r="M112" s="562"/>
      <c r="N112" s="569"/>
      <c r="P112" s="614"/>
      <c r="Q112" s="615"/>
      <c r="R112" s="615"/>
      <c r="S112" s="615"/>
      <c r="T112" s="616"/>
    </row>
    <row r="113" spans="3:20" s="7" customFormat="1" ht="12.75" customHeight="1">
      <c r="C113" s="1" t="s">
        <v>388</v>
      </c>
      <c r="D113" s="514">
        <v>35600</v>
      </c>
      <c r="E113" s="266">
        <f>_xlfn.IFNA(VLOOKUP($C113,'Facteurs d''émission'!$D$2:$I$340,2,FALSE),"Non renseigné")</f>
        <v>0.92</v>
      </c>
      <c r="F113"/>
      <c r="G113" s="3">
        <f>D113*E113</f>
        <v>32752</v>
      </c>
      <c r="I113" s="90">
        <f>_xlfn.IFNA(VLOOKUP($C113,'Facteurs d''émission'!$D$2:$I$340,4,FALSE),"Non présent dans la base")</f>
        <v>0.7</v>
      </c>
      <c r="J113" s="224"/>
      <c r="K113" s="3">
        <f>G113*(1-(1-I113)*(1-J113))</f>
        <v>22926.399999999998</v>
      </c>
      <c r="L113" s="7" t="str">
        <f>IF(D113*COUNTA(J113)&gt;0,"ok","")</f>
        <v/>
      </c>
      <c r="M113" s="224"/>
      <c r="N113" s="3">
        <f>G113*M113</f>
        <v>0</v>
      </c>
      <c r="P113" s="614"/>
      <c r="Q113" s="615"/>
      <c r="R113" s="615"/>
      <c r="S113" s="615"/>
      <c r="T113" s="616"/>
    </row>
    <row r="114" spans="3:20" s="7" customFormat="1" ht="12.75" customHeight="1">
      <c r="C114" s="1" t="s">
        <v>384</v>
      </c>
      <c r="D114" s="514"/>
      <c r="E114" s="266">
        <f>_xlfn.IFNA(VLOOKUP($C114,'Facteurs d''émission'!$D$2:$I$340,2,FALSE),"Non renseigné")</f>
        <v>0.17</v>
      </c>
      <c r="F114"/>
      <c r="G114" s="3">
        <f>D114*E114</f>
        <v>0</v>
      </c>
      <c r="I114" s="90">
        <f>_xlfn.IFNA(VLOOKUP($C114,'Facteurs d''émission'!$D$2:$I$340,4,FALSE),"Non présent dans la base")</f>
        <v>0.7</v>
      </c>
      <c r="J114" s="231"/>
      <c r="K114" s="3">
        <f>G114*(1-(1-I114)*(1-J114))</f>
        <v>0</v>
      </c>
      <c r="L114" s="7" t="str">
        <f>IF(D114*COUNTA(J114)&gt;0,"ok","")</f>
        <v/>
      </c>
      <c r="M114" s="224"/>
      <c r="N114" s="3">
        <f>G114*M114</f>
        <v>0</v>
      </c>
      <c r="P114" s="614"/>
      <c r="Q114" s="615"/>
      <c r="R114" s="615"/>
      <c r="S114" s="615"/>
      <c r="T114" s="616"/>
    </row>
    <row r="115" spans="3:20" s="7" customFormat="1" ht="12.75" customHeight="1">
      <c r="C115" s="1" t="s">
        <v>387</v>
      </c>
      <c r="D115" s="514"/>
      <c r="E115" s="266">
        <f>_xlfn.IFNA(VLOOKUP($C115,'Facteurs d''émission'!$D$2:$I$340,2,FALSE),"Non renseigné")</f>
        <v>8.6999999999999994E-2</v>
      </c>
      <c r="F115"/>
      <c r="G115" s="3">
        <f>D115*E115</f>
        <v>0</v>
      </c>
      <c r="I115" s="90">
        <f>_xlfn.IFNA(VLOOKUP($C115,'Facteurs d''émission'!$D$2:$I$340,4,FALSE),"Non présent dans la base")</f>
        <v>0.7</v>
      </c>
      <c r="J115" s="231"/>
      <c r="K115" s="3">
        <f>G115*(1-(1-I115)*(1-J115))</f>
        <v>0</v>
      </c>
      <c r="L115" s="7" t="str">
        <f>IF(D115*COUNTA(J115)&gt;0,"ok","")</f>
        <v/>
      </c>
      <c r="M115" s="224"/>
      <c r="N115" s="3">
        <f>G115*M115</f>
        <v>0</v>
      </c>
      <c r="P115" s="614"/>
      <c r="Q115" s="615"/>
      <c r="R115" s="615"/>
      <c r="S115" s="615"/>
      <c r="T115" s="616"/>
    </row>
    <row r="116" spans="3:20" s="7" customFormat="1" ht="12.75" customHeight="1">
      <c r="C116" s="1" t="s">
        <v>385</v>
      </c>
      <c r="D116" s="514"/>
      <c r="E116" s="266">
        <f>_xlfn.IFNA(VLOOKUP($C116,'Facteurs d''émission'!$D$2:$I$340,2,FALSE),"Non renseigné")</f>
        <v>0.14000000000000001</v>
      </c>
      <c r="F116"/>
      <c r="G116" s="3">
        <f>D116*E116</f>
        <v>0</v>
      </c>
      <c r="I116" s="90">
        <f>_xlfn.IFNA(VLOOKUP($C116,'Facteurs d''émission'!$D$2:$I$340,4,FALSE),"Non présent dans la base")</f>
        <v>0.7</v>
      </c>
      <c r="J116" s="231"/>
      <c r="K116" s="3">
        <f>G116*(1-(1-I116)*(1-J116))</f>
        <v>0</v>
      </c>
      <c r="L116" s="7" t="str">
        <f>IF(D116*COUNTA(J116)&gt;0,"ok","")</f>
        <v/>
      </c>
      <c r="M116" s="224"/>
      <c r="N116" s="3">
        <f>G116*M116</f>
        <v>0</v>
      </c>
      <c r="P116" s="614"/>
      <c r="Q116" s="615"/>
      <c r="R116" s="615"/>
      <c r="S116" s="615"/>
      <c r="T116" s="616"/>
    </row>
    <row r="117" spans="3:20" s="7" customFormat="1" ht="12.75" customHeight="1">
      <c r="C117" s="1" t="s">
        <v>386</v>
      </c>
      <c r="D117" s="514"/>
      <c r="E117" s="266">
        <f>_xlfn.IFNA(VLOOKUP($C117,'Facteurs d''émission'!$D$2:$I$340,2,FALSE),"Non renseigné")</f>
        <v>0.4</v>
      </c>
      <c r="F117"/>
      <c r="G117" s="3">
        <f>D117*E117</f>
        <v>0</v>
      </c>
      <c r="I117" s="90">
        <f>_xlfn.IFNA(VLOOKUP($C117,'Facteurs d''émission'!$D$2:$I$340,4,FALSE),"Non présent dans la base")</f>
        <v>0.7</v>
      </c>
      <c r="J117" s="231"/>
      <c r="K117" s="3">
        <f>G117*(1-(1-I117)*(1-J117))</f>
        <v>0</v>
      </c>
      <c r="L117" s="7" t="str">
        <f>IF(D117*COUNTA(J117)&gt;0,"ok","")</f>
        <v/>
      </c>
      <c r="M117" s="223"/>
      <c r="N117" s="3">
        <f>G117*M117</f>
        <v>0</v>
      </c>
      <c r="P117" s="614"/>
      <c r="Q117" s="615"/>
      <c r="R117" s="615"/>
      <c r="S117" s="615"/>
      <c r="T117" s="616"/>
    </row>
    <row r="118" spans="3:20" s="7" customFormat="1" ht="12.75" customHeight="1">
      <c r="C118" s="1" t="s">
        <v>306</v>
      </c>
      <c r="D118" s="514"/>
      <c r="E118" s="266">
        <f>_xlfn.IFNA(VLOOKUP($C118,'Facteurs d''émission'!$D$2:$I$340,2,FALSE),"Non renseigné")</f>
        <v>0</v>
      </c>
      <c r="F118"/>
      <c r="G118" s="3">
        <f t="shared" ref="G118:G120" si="12">D118*E118</f>
        <v>0</v>
      </c>
      <c r="I118" s="90">
        <f>_xlfn.IFNA(VLOOKUP($C118,'Facteurs d''émission'!$D$2:$I$340,4,FALSE),"Non présent dans la base")</f>
        <v>0</v>
      </c>
      <c r="J118" s="231"/>
      <c r="K118" s="3">
        <f t="shared" ref="K118:K120" si="13">G118*(1-(1-I118)*(1-J118))</f>
        <v>0</v>
      </c>
      <c r="M118" s="290"/>
      <c r="N118" s="3">
        <f t="shared" ref="N118:N120" si="14">G118*M118</f>
        <v>0</v>
      </c>
      <c r="P118" s="614"/>
      <c r="Q118" s="615"/>
      <c r="R118" s="615"/>
      <c r="S118" s="615"/>
      <c r="T118" s="616"/>
    </row>
    <row r="119" spans="3:20" s="7" customFormat="1" ht="12.75" customHeight="1">
      <c r="C119" s="1" t="s">
        <v>306</v>
      </c>
      <c r="D119" s="514"/>
      <c r="E119" s="266">
        <f>_xlfn.IFNA(VLOOKUP($C119,'Facteurs d''émission'!$D$2:$I$340,2,FALSE),"Non renseigné")</f>
        <v>0</v>
      </c>
      <c r="F119"/>
      <c r="G119" s="3">
        <f t="shared" si="12"/>
        <v>0</v>
      </c>
      <c r="I119" s="90">
        <f>_xlfn.IFNA(VLOOKUP($C119,'Facteurs d''émission'!$D$2:$I$340,4,FALSE),"Non présent dans la base")</f>
        <v>0</v>
      </c>
      <c r="J119" s="231"/>
      <c r="K119" s="3">
        <f t="shared" si="13"/>
        <v>0</v>
      </c>
      <c r="M119" s="290"/>
      <c r="N119" s="3">
        <f t="shared" si="14"/>
        <v>0</v>
      </c>
      <c r="P119" s="614"/>
      <c r="Q119" s="615"/>
      <c r="R119" s="615"/>
      <c r="S119" s="615"/>
      <c r="T119" s="616"/>
    </row>
    <row r="120" spans="3:20" s="7" customFormat="1" ht="12.75" customHeight="1">
      <c r="C120" s="1" t="s">
        <v>306</v>
      </c>
      <c r="D120" s="514"/>
      <c r="E120" s="266">
        <f>_xlfn.IFNA(VLOOKUP($C120,'Facteurs d''émission'!$D$2:$I$340,2,FALSE),"Non renseigné")</f>
        <v>0</v>
      </c>
      <c r="F120"/>
      <c r="G120" s="3">
        <f t="shared" si="12"/>
        <v>0</v>
      </c>
      <c r="I120" s="90">
        <f>_xlfn.IFNA(VLOOKUP($C120,'Facteurs d''émission'!$D$2:$I$340,4,FALSE),"Non présent dans la base")</f>
        <v>0</v>
      </c>
      <c r="J120" s="231"/>
      <c r="K120" s="3">
        <f t="shared" si="13"/>
        <v>0</v>
      </c>
      <c r="M120" s="290"/>
      <c r="N120" s="3">
        <f t="shared" si="14"/>
        <v>0</v>
      </c>
      <c r="P120" s="617"/>
      <c r="Q120" s="618"/>
      <c r="R120" s="618"/>
      <c r="S120" s="618"/>
      <c r="T120" s="619"/>
    </row>
    <row r="121" spans="3:20" s="7" customFormat="1" ht="12.75" customHeight="1">
      <c r="C121" s="52" t="s">
        <v>25</v>
      </c>
      <c r="D121" s="513">
        <f>SUM(D113:D120)</f>
        <v>35600</v>
      </c>
      <c r="E121" s="267"/>
      <c r="F121"/>
      <c r="G121" s="51">
        <f>SUM(G113:G120)</f>
        <v>32752</v>
      </c>
      <c r="I121" s="570" t="str">
        <f>IF(COUNTA(D113:D120)&gt;COUNTIF(L113:L120,"ok"),"! Remplir une incertitude !","")</f>
        <v>! Remplir une incertitude !</v>
      </c>
      <c r="J121" s="571"/>
      <c r="K121" s="54">
        <f>SUM(K113:K120)</f>
        <v>22926.399999999998</v>
      </c>
      <c r="M121" s="84"/>
      <c r="N121" s="54">
        <f>SUM(N113:N120)</f>
        <v>0</v>
      </c>
      <c r="P121" s="593" t="str">
        <f>IF(N121&gt;0,IF(P111="","Attention: vous devez planifier une action afin de remplir votre objectif",""),"")</f>
        <v/>
      </c>
      <c r="Q121" s="593"/>
      <c r="R121" s="593"/>
      <c r="S121" s="593"/>
      <c r="T121" s="593"/>
    </row>
    <row r="122" spans="3:20" s="7" customFormat="1" ht="29.7" customHeight="1">
      <c r="C122" s="12"/>
      <c r="D122" s="12"/>
      <c r="E122" s="12"/>
      <c r="F122" s="12"/>
      <c r="G122" s="63"/>
      <c r="I122" s="64"/>
      <c r="K122" s="63"/>
      <c r="N122" s="63"/>
    </row>
    <row r="123" spans="3:20" s="7" customFormat="1" ht="12.75" customHeight="1">
      <c r="C123" s="12"/>
      <c r="D123" s="12"/>
      <c r="E123" s="12" t="s">
        <v>281</v>
      </c>
      <c r="F123" s="12"/>
      <c r="G123" s="63"/>
      <c r="I123" s="64"/>
      <c r="K123" s="63"/>
      <c r="N123" s="63"/>
    </row>
    <row r="124" spans="3:20" s="7" customFormat="1" ht="12.75" customHeight="1">
      <c r="C124" s="12"/>
      <c r="D124" s="12"/>
      <c r="E124" s="12"/>
      <c r="F124" s="12"/>
      <c r="G124" s="63"/>
      <c r="I124" s="64"/>
      <c r="K124" s="63"/>
      <c r="N124" s="63"/>
    </row>
    <row r="125" spans="3:20" s="7" customFormat="1" ht="12.75" customHeight="1">
      <c r="C125" s="276" t="s">
        <v>136</v>
      </c>
      <c r="G125" s="63" t="s">
        <v>307</v>
      </c>
      <c r="I125" s="12" t="s">
        <v>61</v>
      </c>
      <c r="J125" s="12"/>
      <c r="K125" s="63"/>
      <c r="M125" s="42" t="s">
        <v>332</v>
      </c>
      <c r="N125" s="63"/>
      <c r="P125" s="12" t="s">
        <v>109</v>
      </c>
    </row>
    <row r="126" spans="3:20" s="241" customFormat="1" ht="34.200000000000003">
      <c r="C126" s="242" t="s">
        <v>91</v>
      </c>
      <c r="D126" s="242" t="s">
        <v>289</v>
      </c>
      <c r="E126" s="242" t="s">
        <v>296</v>
      </c>
      <c r="F126" s="242" t="s">
        <v>290</v>
      </c>
      <c r="G126" s="243" t="s">
        <v>232</v>
      </c>
      <c r="I126" s="244" t="s">
        <v>286</v>
      </c>
      <c r="J126" s="244" t="s">
        <v>287</v>
      </c>
      <c r="K126" s="245" t="s">
        <v>232</v>
      </c>
      <c r="M126" s="244" t="s">
        <v>288</v>
      </c>
      <c r="N126" s="245" t="s">
        <v>232</v>
      </c>
      <c r="P126" s="589" t="s">
        <v>165</v>
      </c>
      <c r="Q126" s="589"/>
      <c r="R126" s="589"/>
      <c r="S126" s="589"/>
      <c r="T126" s="589"/>
    </row>
    <row r="127" spans="3:20" s="7" customFormat="1" ht="11.7" customHeight="1">
      <c r="C127" s="509" t="s">
        <v>391</v>
      </c>
      <c r="D127" s="221"/>
      <c r="E127" s="268">
        <f>_xlfn.IFNA(VLOOKUP($C127,'Facteurs d''émission'!$D$2:$I$340,2,FALSE),"Non renseigné")</f>
        <v>2.36</v>
      </c>
      <c r="F127" s="265"/>
      <c r="G127" s="3">
        <f>D127*(E127+F127)</f>
        <v>0</v>
      </c>
      <c r="H127" s="11"/>
      <c r="I127" s="90">
        <f>_xlfn.IFNA(VLOOKUP($C127,'Facteurs d''émission'!$D$2:$I$340,4,FALSE),"Non présent dans la base")</f>
        <v>0.7</v>
      </c>
      <c r="J127" s="224"/>
      <c r="K127" s="3">
        <f>G127*(1-(1-I127)*(1-J127))</f>
        <v>0</v>
      </c>
      <c r="L127" s="7" t="str">
        <f>IF(D127*COUNTA(J127)&gt;0,"ok","")</f>
        <v/>
      </c>
      <c r="M127" s="231"/>
      <c r="N127" s="3">
        <f>M127*G127</f>
        <v>0</v>
      </c>
      <c r="P127" s="598" t="s">
        <v>275</v>
      </c>
      <c r="Q127" s="612"/>
      <c r="R127" s="612"/>
      <c r="S127" s="612"/>
      <c r="T127" s="613"/>
    </row>
    <row r="128" spans="3:20" s="7" customFormat="1">
      <c r="C128" s="14" t="s">
        <v>389</v>
      </c>
      <c r="D128" s="221"/>
      <c r="E128" s="268">
        <f>_xlfn.IFNA(VLOOKUP($C128,'Facteurs d''émission'!$D$2:$I$340,2,FALSE),"Non renseigné")</f>
        <v>1.69</v>
      </c>
      <c r="F128" s="265"/>
      <c r="G128" s="3">
        <f>D128*(E128+F128)</f>
        <v>0</v>
      </c>
      <c r="H128" s="11"/>
      <c r="I128" s="90">
        <f>_xlfn.IFNA(VLOOKUP($C128,'Facteurs d''émission'!$D$2:$I$340,4,FALSE),"Non présent dans la base")</f>
        <v>0.7</v>
      </c>
      <c r="J128" s="224"/>
      <c r="K128" s="3">
        <f>G128*(1-(1-I128)*(1-J128))</f>
        <v>0</v>
      </c>
      <c r="L128" s="7" t="str">
        <f>IF(D128*COUNTA(J128)&gt;0,"ok","")</f>
        <v/>
      </c>
      <c r="M128" s="231"/>
      <c r="N128" s="3">
        <f>M128*G128</f>
        <v>0</v>
      </c>
      <c r="P128" s="614"/>
      <c r="Q128" s="615"/>
      <c r="R128" s="615"/>
      <c r="S128" s="615"/>
      <c r="T128" s="616"/>
    </row>
    <row r="129" spans="3:20" s="7" customFormat="1">
      <c r="C129" s="14" t="s">
        <v>390</v>
      </c>
      <c r="D129" s="221"/>
      <c r="E129" s="268">
        <f>_xlfn.IFNA(VLOOKUP($C129,'Facteurs d''émission'!$D$2:$I$340,2,FALSE),"Non renseigné")</f>
        <v>1.51</v>
      </c>
      <c r="F129" s="265"/>
      <c r="G129" s="3">
        <f>D129*(E129+F129)</f>
        <v>0</v>
      </c>
      <c r="H129" s="11"/>
      <c r="I129" s="90">
        <f>_xlfn.IFNA(VLOOKUP($C129,'Facteurs d''émission'!$D$2:$I$340,4,FALSE),"Non présent dans la base")</f>
        <v>0.7</v>
      </c>
      <c r="J129" s="224"/>
      <c r="K129" s="3">
        <f>G129*(1-(1-I129)*(1-J129))</f>
        <v>0</v>
      </c>
      <c r="L129" s="7" t="str">
        <f>IF(D129*COUNTA(J129)&gt;0,"ok","")</f>
        <v/>
      </c>
      <c r="M129" s="232"/>
      <c r="N129" s="83">
        <f>M129*G129</f>
        <v>0</v>
      </c>
      <c r="P129" s="614"/>
      <c r="Q129" s="615"/>
      <c r="R129" s="615"/>
      <c r="S129" s="615"/>
      <c r="T129" s="616"/>
    </row>
    <row r="130" spans="3:20" s="7" customFormat="1">
      <c r="C130" s="14" t="s">
        <v>306</v>
      </c>
      <c r="D130" s="221"/>
      <c r="E130" s="268">
        <f>_xlfn.IFNA(VLOOKUP($C130,'Facteurs d''émission'!$D$2:$I$340,2,FALSE),"Non renseigné")</f>
        <v>0</v>
      </c>
      <c r="F130" s="265"/>
      <c r="G130" s="3">
        <f>D130*(E130+F130)</f>
        <v>0</v>
      </c>
      <c r="H130" s="11"/>
      <c r="I130" s="90">
        <f>_xlfn.IFNA(VLOOKUP($C130,'Facteurs d''émission'!$D$2:$I$340,4,FALSE),"Non présent dans la base")</f>
        <v>0</v>
      </c>
      <c r="J130" s="224"/>
      <c r="K130" s="3">
        <f>G130*(1-(1-I130)*(1-J130))</f>
        <v>0</v>
      </c>
      <c r="M130" s="289"/>
      <c r="N130" s="83">
        <f t="shared" ref="N130:N132" si="15">M130*G130</f>
        <v>0</v>
      </c>
      <c r="P130" s="614"/>
      <c r="Q130" s="615"/>
      <c r="R130" s="615"/>
      <c r="S130" s="615"/>
      <c r="T130" s="616"/>
    </row>
    <row r="131" spans="3:20" s="7" customFormat="1">
      <c r="C131" s="14" t="s">
        <v>306</v>
      </c>
      <c r="D131" s="221"/>
      <c r="E131" s="268">
        <f>_xlfn.IFNA(VLOOKUP($C131,'Facteurs d''émission'!$D$2:$I$340,2,FALSE),"Non renseigné")</f>
        <v>0</v>
      </c>
      <c r="F131" s="265"/>
      <c r="G131" s="3">
        <f t="shared" ref="G131:G132" si="16">D131*(E131+F131)</f>
        <v>0</v>
      </c>
      <c r="H131" s="11"/>
      <c r="I131" s="90">
        <f>_xlfn.IFNA(VLOOKUP($C131,'Facteurs d''émission'!$D$2:$I$340,4,FALSE),"Non présent dans la base")</f>
        <v>0</v>
      </c>
      <c r="J131" s="224"/>
      <c r="K131" s="3">
        <f t="shared" ref="K131:K132" si="17">G131*(1-(1-I131)*(1-J131))</f>
        <v>0</v>
      </c>
      <c r="M131" s="289"/>
      <c r="N131" s="83">
        <f t="shared" si="15"/>
        <v>0</v>
      </c>
      <c r="P131" s="614"/>
      <c r="Q131" s="615"/>
      <c r="R131" s="615"/>
      <c r="S131" s="615"/>
      <c r="T131" s="616"/>
    </row>
    <row r="132" spans="3:20" s="7" customFormat="1">
      <c r="C132" s="14" t="s">
        <v>306</v>
      </c>
      <c r="D132" s="221"/>
      <c r="E132" s="268">
        <f>_xlfn.IFNA(VLOOKUP($C132,'Facteurs d''émission'!$D$2:$I$340,2,FALSE),"Non renseigné")</f>
        <v>0</v>
      </c>
      <c r="F132" s="265"/>
      <c r="G132" s="3">
        <f t="shared" si="16"/>
        <v>0</v>
      </c>
      <c r="H132" s="11"/>
      <c r="I132" s="90">
        <f>_xlfn.IFNA(VLOOKUP($C132,'Facteurs d''émission'!$D$2:$I$340,4,FALSE),"Non présent dans la base")</f>
        <v>0</v>
      </c>
      <c r="J132" s="224"/>
      <c r="K132" s="3">
        <f t="shared" si="17"/>
        <v>0</v>
      </c>
      <c r="M132" s="289"/>
      <c r="N132" s="83">
        <f t="shared" si="15"/>
        <v>0</v>
      </c>
      <c r="P132" s="617"/>
      <c r="Q132" s="618"/>
      <c r="R132" s="618"/>
      <c r="S132" s="618"/>
      <c r="T132" s="619"/>
    </row>
    <row r="133" spans="3:20" s="7" customFormat="1" ht="12">
      <c r="C133" s="287" t="s">
        <v>25</v>
      </c>
      <c r="D133" s="51">
        <f>SUM(D127:D132)</f>
        <v>0</v>
      </c>
      <c r="E133" s="595"/>
      <c r="F133" s="597"/>
      <c r="G133" s="51">
        <f>SUM(G127:G132)</f>
        <v>0</v>
      </c>
      <c r="I133" s="570" t="str">
        <f>IF(COUNTA(D127:D129)&gt;COUNTIF(L127:L129,"ok"),"! Remplir une incertitude !","")</f>
        <v/>
      </c>
      <c r="J133" s="571"/>
      <c r="K133" s="54">
        <f>SUM(K127:K132)</f>
        <v>0</v>
      </c>
      <c r="M133" s="86"/>
      <c r="N133" s="54">
        <f>SUM(N127:N132)</f>
        <v>0</v>
      </c>
      <c r="P133" s="593" t="str">
        <f>IF(N133&gt;0,IF(#REF!="","Attention: vous devez planifier une action afin de remplir votre objectif",""),"")</f>
        <v/>
      </c>
      <c r="Q133" s="593"/>
      <c r="R133" s="593"/>
      <c r="S133" s="593"/>
      <c r="T133" s="593"/>
    </row>
    <row r="134" spans="3:20" s="7" customFormat="1" ht="28.95" customHeight="1">
      <c r="C134" s="12"/>
      <c r="G134" s="63"/>
      <c r="I134" s="64"/>
      <c r="K134" s="63"/>
      <c r="M134" s="64"/>
      <c r="N134" s="63"/>
      <c r="P134" s="9"/>
      <c r="Q134" s="9"/>
      <c r="R134" s="9"/>
      <c r="S134" s="9"/>
      <c r="T134" s="9"/>
    </row>
    <row r="135" spans="3:20" s="7" customFormat="1" ht="12">
      <c r="C135" s="12"/>
      <c r="E135" s="12" t="s">
        <v>282</v>
      </c>
      <c r="G135" s="63"/>
      <c r="I135" s="64"/>
      <c r="K135" s="63"/>
      <c r="M135" s="64"/>
      <c r="N135" s="63"/>
      <c r="P135" s="9"/>
      <c r="Q135" s="9"/>
      <c r="R135" s="9"/>
      <c r="S135" s="9"/>
      <c r="T135" s="9"/>
    </row>
    <row r="136" spans="3:20" s="7" customFormat="1">
      <c r="G136" s="11"/>
      <c r="K136" s="11"/>
      <c r="N136" s="11"/>
    </row>
    <row r="137" spans="3:20" s="7" customFormat="1" ht="12">
      <c r="C137" s="276" t="s">
        <v>137</v>
      </c>
      <c r="G137" s="63" t="s">
        <v>307</v>
      </c>
      <c r="I137" s="42" t="s">
        <v>61</v>
      </c>
      <c r="J137" s="13"/>
      <c r="K137" s="135"/>
      <c r="M137" s="12" t="s">
        <v>332</v>
      </c>
      <c r="N137" s="63"/>
      <c r="P137" s="12" t="s">
        <v>109</v>
      </c>
    </row>
    <row r="138" spans="3:20" s="247" customFormat="1" ht="22.8">
      <c r="C138" s="244" t="s">
        <v>112</v>
      </c>
      <c r="D138" s="244" t="s">
        <v>289</v>
      </c>
      <c r="E138" s="244" t="s">
        <v>237</v>
      </c>
      <c r="F138"/>
      <c r="G138" s="248" t="s">
        <v>232</v>
      </c>
      <c r="I138" s="244" t="s">
        <v>286</v>
      </c>
      <c r="J138" s="244" t="s">
        <v>287</v>
      </c>
      <c r="K138" s="245" t="s">
        <v>232</v>
      </c>
      <c r="M138" s="244" t="s">
        <v>288</v>
      </c>
      <c r="N138" s="245" t="s">
        <v>232</v>
      </c>
      <c r="P138" s="589" t="s">
        <v>165</v>
      </c>
      <c r="Q138" s="589"/>
      <c r="R138" s="589"/>
      <c r="S138" s="589"/>
      <c r="T138" s="589"/>
    </row>
    <row r="139" spans="3:20" s="7" customFormat="1" ht="11.7" customHeight="1">
      <c r="C139" s="43" t="s">
        <v>393</v>
      </c>
      <c r="D139" s="221"/>
      <c r="E139" s="268">
        <f>_xlfn.IFNA(VLOOKUP($C139,'Facteurs d''émission'!$D$2:$I$340,2,FALSE),"Non renseigné")</f>
        <v>6.13E-2</v>
      </c>
      <c r="F139"/>
      <c r="G139" s="3">
        <f>D139*E139</f>
        <v>0</v>
      </c>
      <c r="I139" s="230">
        <f>_xlfn.IFNA(VLOOKUP($C139,'Facteurs d''émission'!$D$2:$I$340,4,FALSE),"Non présent dans la base")</f>
        <v>0</v>
      </c>
      <c r="J139" s="224"/>
      <c r="K139" s="3">
        <f>G139*(1-(1-I139)*(1-J139))</f>
        <v>0</v>
      </c>
      <c r="L139" s="7" t="str">
        <f>IF(D139*COUNTA(J139)&gt;0,"ok","")</f>
        <v/>
      </c>
      <c r="M139" s="231"/>
      <c r="N139" s="3">
        <f>M139*G139</f>
        <v>0</v>
      </c>
      <c r="P139" s="598" t="s">
        <v>275</v>
      </c>
      <c r="Q139" s="612"/>
      <c r="R139" s="612"/>
      <c r="S139" s="612"/>
      <c r="T139" s="613"/>
    </row>
    <row r="140" spans="3:20" s="7" customFormat="1">
      <c r="C140" s="43" t="s">
        <v>392</v>
      </c>
      <c r="D140" s="221"/>
      <c r="E140" s="268">
        <f>_xlfn.IFNA(VLOOKUP($C140,'Facteurs d''émission'!$D$2:$I$340,2,FALSE),"Non renseigné")</f>
        <v>4.0400000000000002E-3</v>
      </c>
      <c r="F140"/>
      <c r="G140" s="83">
        <f>D140*E140</f>
        <v>0</v>
      </c>
      <c r="I140" s="230">
        <f>_xlfn.IFNA(VLOOKUP($C140,'Facteurs d''émission'!$D$2:$I$340,4,FALSE),"Non présent dans la base")</f>
        <v>0.7</v>
      </c>
      <c r="J140" s="223"/>
      <c r="K140" s="83">
        <f>G140*(1-(1-I140)*(1-J140))</f>
        <v>0</v>
      </c>
      <c r="L140" s="7" t="str">
        <f>IF(D140*COUNTA(J140)&gt;0,"ok","")</f>
        <v/>
      </c>
      <c r="M140" s="232"/>
      <c r="N140" s="83">
        <f>M140*G140</f>
        <v>0</v>
      </c>
      <c r="P140" s="614"/>
      <c r="Q140" s="615"/>
      <c r="R140" s="615"/>
      <c r="S140" s="615"/>
      <c r="T140" s="616"/>
    </row>
    <row r="141" spans="3:20" s="7" customFormat="1">
      <c r="C141" s="43" t="s">
        <v>306</v>
      </c>
      <c r="D141" s="221"/>
      <c r="E141" s="268">
        <f>_xlfn.IFNA(VLOOKUP($C141,'Facteurs d''émission'!$D$2:$I$340,2,FALSE),"Non renseigné")</f>
        <v>0</v>
      </c>
      <c r="F141"/>
      <c r="G141" s="83">
        <f>D141*E141</f>
        <v>0</v>
      </c>
      <c r="I141" s="230">
        <f>_xlfn.IFNA(VLOOKUP($C141,'Facteurs d''émission'!$D$2:$I$340,4,FALSE),"Non présent dans la base")</f>
        <v>0</v>
      </c>
      <c r="J141" s="223"/>
      <c r="K141" s="83">
        <f t="shared" ref="K141:K143" si="18">G141*(1-(1-I141)*(1-J141))</f>
        <v>0</v>
      </c>
      <c r="M141" s="232"/>
      <c r="N141" s="83">
        <f t="shared" ref="N141:N143" si="19">M141*G141</f>
        <v>0</v>
      </c>
      <c r="P141" s="614"/>
      <c r="Q141" s="615"/>
      <c r="R141" s="615"/>
      <c r="S141" s="615"/>
      <c r="T141" s="616"/>
    </row>
    <row r="142" spans="3:20" s="7" customFormat="1">
      <c r="C142" s="43" t="s">
        <v>306</v>
      </c>
      <c r="D142" s="221"/>
      <c r="E142" s="268">
        <f>_xlfn.IFNA(VLOOKUP($C142,'Facteurs d''émission'!$D$2:$I$340,2,FALSE),"Non renseigné")</f>
        <v>0</v>
      </c>
      <c r="F142"/>
      <c r="G142" s="83">
        <f t="shared" ref="G142:G143" si="20">D142*E142</f>
        <v>0</v>
      </c>
      <c r="I142" s="230">
        <f>_xlfn.IFNA(VLOOKUP($C142,'Facteurs d''émission'!$D$2:$I$340,4,FALSE),"Non présent dans la base")</f>
        <v>0</v>
      </c>
      <c r="J142" s="223"/>
      <c r="K142" s="83">
        <f t="shared" si="18"/>
        <v>0</v>
      </c>
      <c r="M142" s="232"/>
      <c r="N142" s="83">
        <f t="shared" si="19"/>
        <v>0</v>
      </c>
      <c r="P142" s="614"/>
      <c r="Q142" s="615"/>
      <c r="R142" s="615"/>
      <c r="S142" s="615"/>
      <c r="T142" s="616"/>
    </row>
    <row r="143" spans="3:20" s="7" customFormat="1">
      <c r="C143" s="43" t="s">
        <v>306</v>
      </c>
      <c r="D143" s="221"/>
      <c r="E143" s="268">
        <f>_xlfn.IFNA(VLOOKUP($C143,'Facteurs d''émission'!$D$2:$I$340,2,FALSE),"Non renseigné")</f>
        <v>0</v>
      </c>
      <c r="F143"/>
      <c r="G143" s="83">
        <f t="shared" si="20"/>
        <v>0</v>
      </c>
      <c r="I143" s="230">
        <f>_xlfn.IFNA(VLOOKUP($C143,'Facteurs d''émission'!$D$2:$I$340,4,FALSE),"Non présent dans la base")</f>
        <v>0</v>
      </c>
      <c r="J143" s="223"/>
      <c r="K143" s="83">
        <f t="shared" si="18"/>
        <v>0</v>
      </c>
      <c r="M143" s="232"/>
      <c r="N143" s="83">
        <f t="shared" si="19"/>
        <v>0</v>
      </c>
      <c r="P143" s="617"/>
      <c r="Q143" s="618"/>
      <c r="R143" s="618"/>
      <c r="S143" s="618"/>
      <c r="T143" s="619"/>
    </row>
    <row r="144" spans="3:20" s="7" customFormat="1" ht="12">
      <c r="C144" s="287" t="s">
        <v>25</v>
      </c>
      <c r="D144" s="51">
        <f>SUM(D139:D143)</f>
        <v>0</v>
      </c>
      <c r="E144" s="287"/>
      <c r="F144"/>
      <c r="G144" s="51">
        <f>SUM(G139:G143)</f>
        <v>0</v>
      </c>
      <c r="I144" s="570" t="str">
        <f>IF(COUNTA(D139:D140)&gt;COUNTIF(L139:L140,"ok"),"! Remplir une incertitude !","")</f>
        <v/>
      </c>
      <c r="J144" s="571"/>
      <c r="K144" s="54">
        <f>SUM(K139:K143)</f>
        <v>0</v>
      </c>
      <c r="M144" s="86"/>
      <c r="N144" s="54">
        <f>SUM(N139:N143)</f>
        <v>0</v>
      </c>
      <c r="P144" s="593" t="str">
        <f>IF(N144&gt;0,IF(#REF!="","Attention: vous devez planifier une action afin de remplir votre objectif",""),"")</f>
        <v/>
      </c>
      <c r="Q144" s="593"/>
      <c r="R144" s="593"/>
      <c r="S144" s="593"/>
      <c r="T144" s="593"/>
    </row>
    <row r="145" spans="1:20" s="7" customFormat="1" ht="32.4" customHeight="1">
      <c r="C145" s="12"/>
      <c r="D145" s="12"/>
      <c r="E145" s="12"/>
      <c r="F145" s="12"/>
      <c r="G145" s="63"/>
      <c r="H145" s="63"/>
      <c r="K145" s="11"/>
      <c r="L145" s="63"/>
      <c r="N145" s="11"/>
      <c r="O145" s="63"/>
    </row>
    <row r="146" spans="1:20" s="7" customFormat="1" ht="12">
      <c r="C146" s="12"/>
      <c r="D146" s="12"/>
      <c r="E146" s="12" t="s">
        <v>292</v>
      </c>
      <c r="F146" s="12"/>
      <c r="G146" s="63"/>
      <c r="H146" s="63"/>
      <c r="K146" s="11"/>
      <c r="L146" s="63"/>
      <c r="N146" s="11"/>
      <c r="O146" s="63"/>
    </row>
    <row r="147" spans="1:20" s="7" customFormat="1" ht="12">
      <c r="C147" s="12"/>
      <c r="D147" s="12"/>
      <c r="E147" s="12"/>
      <c r="F147" s="12"/>
      <c r="G147" s="63"/>
      <c r="H147" s="63"/>
      <c r="K147" s="11"/>
      <c r="L147" s="63"/>
      <c r="N147" s="11"/>
      <c r="O147" s="63"/>
    </row>
    <row r="148" spans="1:20" s="7" customFormat="1" ht="12">
      <c r="C148" s="276" t="s">
        <v>139</v>
      </c>
      <c r="G148" s="63" t="s">
        <v>307</v>
      </c>
      <c r="I148" s="12" t="s">
        <v>61</v>
      </c>
      <c r="J148" s="12"/>
      <c r="K148" s="63"/>
      <c r="M148" s="12" t="s">
        <v>332</v>
      </c>
      <c r="N148" s="12"/>
      <c r="P148" s="12" t="s">
        <v>109</v>
      </c>
    </row>
    <row r="149" spans="1:20" s="246" customFormat="1" ht="22.8">
      <c r="C149" s="244" t="s">
        <v>295</v>
      </c>
      <c r="D149" s="244" t="s">
        <v>291</v>
      </c>
      <c r="E149" s="244" t="s">
        <v>237</v>
      </c>
      <c r="G149" s="245" t="s">
        <v>232</v>
      </c>
      <c r="I149" s="244" t="s">
        <v>286</v>
      </c>
      <c r="J149" s="244" t="s">
        <v>287</v>
      </c>
      <c r="K149" s="245" t="s">
        <v>232</v>
      </c>
      <c r="M149" s="244" t="s">
        <v>288</v>
      </c>
      <c r="N149" s="248" t="s">
        <v>232</v>
      </c>
      <c r="P149" s="590" t="s">
        <v>165</v>
      </c>
      <c r="Q149" s="591"/>
      <c r="R149" s="591"/>
      <c r="S149" s="591"/>
      <c r="T149" s="592"/>
    </row>
    <row r="150" spans="1:20" s="7" customFormat="1" ht="11.7" customHeight="1">
      <c r="C150" s="253" t="s">
        <v>394</v>
      </c>
      <c r="D150" s="254"/>
      <c r="E150" s="264">
        <f>_xlfn.IFNA(VLOOKUP($C150,'Facteurs d''émission'!$D$2:$I$340,2,FALSE),"Non renseigné")</f>
        <v>1.0200000000000001E-2</v>
      </c>
      <c r="G150" s="3">
        <f>D150*E150</f>
        <v>0</v>
      </c>
      <c r="I150" s="90">
        <f>_xlfn.IFNA(VLOOKUP($C150,'Facteurs d''émission'!$D$2:$I$340,4,FALSE),"Non présent dans la base")</f>
        <v>0</v>
      </c>
      <c r="J150" s="254"/>
      <c r="K150" s="3">
        <f>G150*(1-(1-I150)*(1-J150))</f>
        <v>0</v>
      </c>
      <c r="M150" s="224"/>
      <c r="N150" s="83">
        <f>$M150*G150</f>
        <v>0</v>
      </c>
      <c r="P150" s="598" t="s">
        <v>275</v>
      </c>
      <c r="Q150" s="612"/>
      <c r="R150" s="612"/>
      <c r="S150" s="612"/>
      <c r="T150" s="613"/>
    </row>
    <row r="151" spans="1:20" s="7" customFormat="1">
      <c r="C151" s="260" t="s">
        <v>395</v>
      </c>
      <c r="D151" s="221"/>
      <c r="E151" s="264">
        <f>_xlfn.IFNA(VLOOKUP($C151,'Facteurs d''émission'!$D$2:$I$340,2,FALSE),"Non renseigné")</f>
        <v>2.2700000000000001E-2</v>
      </c>
      <c r="G151" s="3">
        <f>D151*E151</f>
        <v>0</v>
      </c>
      <c r="I151" s="90">
        <f>_xlfn.IFNA(VLOOKUP($C151,'Facteurs d''émission'!$D$2:$I$340,4,FALSE),"Non présent dans la base")</f>
        <v>0</v>
      </c>
      <c r="J151" s="224"/>
      <c r="K151" s="3">
        <f>G151*(1-(1-I151)*(1-J151))</f>
        <v>0</v>
      </c>
      <c r="L151" s="7" t="str">
        <f>IF(D151*COUNTA(J151)&gt;0,"ok","")</f>
        <v/>
      </c>
      <c r="M151" s="224"/>
      <c r="N151" s="83">
        <f t="shared" ref="N151:N155" si="21">$M151*G151</f>
        <v>0</v>
      </c>
      <c r="P151" s="614"/>
      <c r="Q151" s="615"/>
      <c r="R151" s="615"/>
      <c r="S151" s="615"/>
      <c r="T151" s="616"/>
    </row>
    <row r="152" spans="1:20" s="7" customFormat="1">
      <c r="C152" s="260" t="s">
        <v>306</v>
      </c>
      <c r="D152" s="221"/>
      <c r="E152" s="264">
        <f>_xlfn.IFNA(VLOOKUP($C152,'Facteurs d''émission'!$D$2:$I$340,2,FALSE),"Non renseigné")</f>
        <v>0</v>
      </c>
      <c r="G152" s="3">
        <f t="shared" ref="G152:G155" si="22">D152*E152</f>
        <v>0</v>
      </c>
      <c r="I152" s="90">
        <f>_xlfn.IFNA(VLOOKUP($C152,'Facteurs d''émission'!$D$2:$I$340,4,FALSE),"Non présent dans la base")</f>
        <v>0</v>
      </c>
      <c r="J152" s="224"/>
      <c r="K152" s="3">
        <f t="shared" ref="K152:K155" si="23">G152*(1-(1-I152)*(1-J152))</f>
        <v>0</v>
      </c>
      <c r="M152" s="224"/>
      <c r="N152" s="83">
        <f t="shared" si="21"/>
        <v>0</v>
      </c>
      <c r="P152" s="614"/>
      <c r="Q152" s="615"/>
      <c r="R152" s="615"/>
      <c r="S152" s="615"/>
      <c r="T152" s="616"/>
    </row>
    <row r="153" spans="1:20" s="7" customFormat="1">
      <c r="C153" s="260" t="s">
        <v>306</v>
      </c>
      <c r="D153" s="221"/>
      <c r="E153" s="264">
        <f>_xlfn.IFNA(VLOOKUP($C153,'Facteurs d''émission'!$D$2:$I$340,2,FALSE),"Non renseigné")</f>
        <v>0</v>
      </c>
      <c r="G153" s="3">
        <f t="shared" si="22"/>
        <v>0</v>
      </c>
      <c r="I153" s="90">
        <f>_xlfn.IFNA(VLOOKUP($C153,'Facteurs d''émission'!$D$2:$I$340,4,FALSE),"Non présent dans la base")</f>
        <v>0</v>
      </c>
      <c r="J153" s="224"/>
      <c r="K153" s="3">
        <f t="shared" si="23"/>
        <v>0</v>
      </c>
      <c r="M153" s="224"/>
      <c r="N153" s="83">
        <f t="shared" si="21"/>
        <v>0</v>
      </c>
      <c r="P153" s="614"/>
      <c r="Q153" s="615"/>
      <c r="R153" s="615"/>
      <c r="S153" s="615"/>
      <c r="T153" s="616"/>
    </row>
    <row r="154" spans="1:20" s="7" customFormat="1">
      <c r="C154" s="260" t="s">
        <v>306</v>
      </c>
      <c r="D154" s="221"/>
      <c r="E154" s="264">
        <f>_xlfn.IFNA(VLOOKUP($C154,'Facteurs d''émission'!$D$2:$I$340,2,FALSE),"Non renseigné")</f>
        <v>0</v>
      </c>
      <c r="G154" s="3">
        <f t="shared" si="22"/>
        <v>0</v>
      </c>
      <c r="I154" s="90">
        <f>_xlfn.IFNA(VLOOKUP($C154,'Facteurs d''émission'!$D$2:$I$340,4,FALSE),"Non présent dans la base")</f>
        <v>0</v>
      </c>
      <c r="J154" s="224"/>
      <c r="K154" s="3">
        <f t="shared" si="23"/>
        <v>0</v>
      </c>
      <c r="M154" s="224"/>
      <c r="N154" s="83">
        <f t="shared" si="21"/>
        <v>0</v>
      </c>
      <c r="P154" s="614"/>
      <c r="Q154" s="615"/>
      <c r="R154" s="615"/>
      <c r="S154" s="615"/>
      <c r="T154" s="616"/>
    </row>
    <row r="155" spans="1:20" s="7" customFormat="1">
      <c r="C155" s="260" t="s">
        <v>306</v>
      </c>
      <c r="D155" s="221"/>
      <c r="E155" s="264">
        <f>_xlfn.IFNA(VLOOKUP($C155,'Facteurs d''émission'!$D$2:$I$340,2,FALSE),"Non renseigné")</f>
        <v>0</v>
      </c>
      <c r="G155" s="3">
        <f t="shared" si="22"/>
        <v>0</v>
      </c>
      <c r="I155" s="90">
        <f>_xlfn.IFNA(VLOOKUP($C155,'Facteurs d''émission'!$D$2:$I$340,4,FALSE),"Non présent dans la base")</f>
        <v>0</v>
      </c>
      <c r="J155" s="224"/>
      <c r="K155" s="3">
        <f t="shared" si="23"/>
        <v>0</v>
      </c>
      <c r="M155" s="224"/>
      <c r="N155" s="83">
        <f t="shared" si="21"/>
        <v>0</v>
      </c>
      <c r="P155" s="617"/>
      <c r="Q155" s="618"/>
      <c r="R155" s="618"/>
      <c r="S155" s="618"/>
      <c r="T155" s="619"/>
    </row>
    <row r="156" spans="1:20" s="7" customFormat="1" ht="12">
      <c r="C156" s="52" t="s">
        <v>25</v>
      </c>
      <c r="D156" s="57">
        <f>SUM(D150:D155)</f>
        <v>0</v>
      </c>
      <c r="E156" s="267"/>
      <c r="G156" s="51">
        <f>SUM(G150:G155)</f>
        <v>0</v>
      </c>
      <c r="H156"/>
      <c r="I156" s="86" t="str">
        <f>IF(COUNTA(D151)&gt;COUNTIF(L151,"ok"),"! Remplir une incertitude !","")</f>
        <v/>
      </c>
      <c r="J156" s="189"/>
      <c r="K156" s="54">
        <f>SUM(K150:K155)</f>
        <v>0</v>
      </c>
      <c r="M156" s="55"/>
      <c r="N156" s="54">
        <f>SUM(N150:N155)</f>
        <v>0</v>
      </c>
      <c r="P156" s="595" t="str">
        <f>IF(N156&gt;0,IF(#REF!="","Attention: vous devez planifier une action afin de remplir votre objectif",""),"")</f>
        <v/>
      </c>
      <c r="Q156" s="596"/>
      <c r="R156" s="596"/>
      <c r="S156" s="596"/>
      <c r="T156" s="597"/>
    </row>
    <row r="157" spans="1:20" s="7" customFormat="1">
      <c r="G157" s="10"/>
      <c r="H157" s="11"/>
      <c r="K157" s="11"/>
      <c r="N157" s="11"/>
    </row>
    <row r="158" spans="1:20" s="7" customFormat="1">
      <c r="G158" s="10"/>
      <c r="H158" s="11"/>
      <c r="K158" s="11"/>
      <c r="N158" s="11"/>
    </row>
    <row r="159" spans="1:20" s="7" customFormat="1">
      <c r="G159" s="10"/>
      <c r="H159" s="11"/>
      <c r="K159" s="11"/>
      <c r="N159" s="11"/>
    </row>
    <row r="160" spans="1:20" s="65" customFormat="1" ht="15.6">
      <c r="A160" s="64"/>
      <c r="B160" s="64"/>
      <c r="C160" s="574" t="s">
        <v>138</v>
      </c>
      <c r="D160" s="574"/>
      <c r="E160" s="574"/>
      <c r="F160" s="574"/>
      <c r="G160" s="574"/>
      <c r="H160" s="574"/>
      <c r="I160" s="574"/>
      <c r="J160" s="574"/>
      <c r="K160" s="574"/>
      <c r="L160" s="20"/>
      <c r="N160" s="111"/>
    </row>
    <row r="161" spans="3:16" s="64" customFormat="1">
      <c r="G161" s="87"/>
      <c r="I161" s="87"/>
      <c r="K161" s="87"/>
      <c r="N161" s="87"/>
    </row>
    <row r="162" spans="3:16" s="64" customFormat="1" ht="12">
      <c r="C162" s="12" t="s">
        <v>134</v>
      </c>
      <c r="D162" s="12"/>
      <c r="E162" s="572" t="s">
        <v>19</v>
      </c>
      <c r="F162" s="572"/>
      <c r="G162" s="573"/>
      <c r="H162" s="12"/>
      <c r="I162" s="553" t="s">
        <v>61</v>
      </c>
      <c r="J162" s="553"/>
      <c r="K162" s="553"/>
      <c r="L162" s="12"/>
      <c r="M162" s="588" t="s">
        <v>111</v>
      </c>
      <c r="N162" s="573"/>
      <c r="O162" s="573"/>
      <c r="P162" s="13" t="s">
        <v>12</v>
      </c>
    </row>
    <row r="163" spans="3:16" s="64" customFormat="1">
      <c r="C163" s="659"/>
      <c r="D163" s="660"/>
      <c r="E163" s="327" t="s">
        <v>232</v>
      </c>
      <c r="F163" s="197" t="s">
        <v>304</v>
      </c>
      <c r="G163" s="328" t="s">
        <v>66</v>
      </c>
      <c r="I163" s="197" t="s">
        <v>232</v>
      </c>
      <c r="J163" s="197" t="s">
        <v>304</v>
      </c>
      <c r="K163" s="197" t="s">
        <v>49</v>
      </c>
      <c r="L163" s="88"/>
      <c r="M163" s="197" t="s">
        <v>232</v>
      </c>
      <c r="N163" s="328" t="s">
        <v>304</v>
      </c>
      <c r="O163" s="197" t="s">
        <v>48</v>
      </c>
      <c r="P163" s="197" t="s">
        <v>304</v>
      </c>
    </row>
    <row r="164" spans="3:16" s="64" customFormat="1">
      <c r="C164" s="664" t="s">
        <v>29</v>
      </c>
      <c r="D164" s="664"/>
      <c r="E164" s="255">
        <f>G121</f>
        <v>32752</v>
      </c>
      <c r="F164" s="256">
        <f>E164/1000</f>
        <v>32.752000000000002</v>
      </c>
      <c r="G164" s="257">
        <f>IF(F$168=0,"",F164/F$168)</f>
        <v>1</v>
      </c>
      <c r="I164" s="85">
        <f>K121</f>
        <v>22926.399999999998</v>
      </c>
      <c r="J164" s="85">
        <f>I164/1000</f>
        <v>22.926399999999997</v>
      </c>
      <c r="K164" s="90">
        <f>IF(E164=0,"",I164/E164)</f>
        <v>0.7</v>
      </c>
      <c r="M164" s="85">
        <f>N121</f>
        <v>0</v>
      </c>
      <c r="N164" s="85">
        <f>M164/1000</f>
        <v>0</v>
      </c>
      <c r="O164" s="71">
        <f>IF($E164=0,"",M164/$E164)</f>
        <v>0</v>
      </c>
      <c r="P164" s="92">
        <f>F164-N164</f>
        <v>32.752000000000002</v>
      </c>
    </row>
    <row r="165" spans="3:16" s="64" customFormat="1">
      <c r="C165" s="664" t="s">
        <v>30</v>
      </c>
      <c r="D165" s="664"/>
      <c r="E165" s="255">
        <f>G133</f>
        <v>0</v>
      </c>
      <c r="F165" s="256">
        <f>E165/1000</f>
        <v>0</v>
      </c>
      <c r="G165" s="257">
        <f>IF(F$168=0,"",F165/F$168)</f>
        <v>0</v>
      </c>
      <c r="I165" s="85">
        <f>K133</f>
        <v>0</v>
      </c>
      <c r="J165" s="85">
        <f>I165/1000</f>
        <v>0</v>
      </c>
      <c r="K165" s="90" t="str">
        <f>IF(E165=0,"",I165/E165)</f>
        <v/>
      </c>
      <c r="M165" s="85">
        <f>N133</f>
        <v>0</v>
      </c>
      <c r="N165" s="85">
        <f>M165/1000</f>
        <v>0</v>
      </c>
      <c r="O165" s="71" t="str">
        <f>IF($E165=0,"",M165/$E165)</f>
        <v/>
      </c>
      <c r="P165" s="92">
        <f>F165-N165</f>
        <v>0</v>
      </c>
    </row>
    <row r="166" spans="3:16" s="64" customFormat="1">
      <c r="C166" s="664" t="s">
        <v>31</v>
      </c>
      <c r="D166" s="664"/>
      <c r="E166" s="255">
        <f>G144</f>
        <v>0</v>
      </c>
      <c r="F166" s="256">
        <f>E166/1000</f>
        <v>0</v>
      </c>
      <c r="G166" s="257">
        <f>IF(F$168=0,"",F166/F$168)</f>
        <v>0</v>
      </c>
      <c r="I166" s="85">
        <f>K144</f>
        <v>0</v>
      </c>
      <c r="J166" s="85">
        <f>I166/1000</f>
        <v>0</v>
      </c>
      <c r="K166" s="90" t="str">
        <f>IF(E166=0,"",I166/E166)</f>
        <v/>
      </c>
      <c r="M166" s="85">
        <f>N144</f>
        <v>0</v>
      </c>
      <c r="N166" s="85">
        <f>M166/1000</f>
        <v>0</v>
      </c>
      <c r="O166" s="71" t="str">
        <f>IF($E166=0,"",M166/$E166)</f>
        <v/>
      </c>
      <c r="P166" s="92">
        <f>F166-N166</f>
        <v>0</v>
      </c>
    </row>
    <row r="167" spans="3:16" s="64" customFormat="1">
      <c r="C167" s="673" t="s">
        <v>80</v>
      </c>
      <c r="D167" s="673"/>
      <c r="E167" s="258">
        <f>G156</f>
        <v>0</v>
      </c>
      <c r="F167" s="256">
        <f>E167/1000</f>
        <v>0</v>
      </c>
      <c r="G167" s="257">
        <f>IF(F$168=0,"",F167/F$168)</f>
        <v>0</v>
      </c>
      <c r="I167" s="85">
        <f>K156</f>
        <v>0</v>
      </c>
      <c r="J167" s="85">
        <f>I167/1000</f>
        <v>0</v>
      </c>
      <c r="K167" s="257" t="str">
        <f>IF(E167=0,"",I167/E167)</f>
        <v/>
      </c>
      <c r="M167" s="85">
        <f>N156</f>
        <v>0</v>
      </c>
      <c r="N167" s="85">
        <f>M167/1000</f>
        <v>0</v>
      </c>
      <c r="O167" s="71" t="str">
        <f>IF($E167=0,"",M167/$E167)</f>
        <v/>
      </c>
      <c r="P167" s="92">
        <f>F167-N167</f>
        <v>0</v>
      </c>
    </row>
    <row r="168" spans="3:16" s="64" customFormat="1" ht="12">
      <c r="C168" s="52" t="s">
        <v>11</v>
      </c>
      <c r="D168" s="57"/>
      <c r="E168" s="56">
        <f>SUM(E164:E167)</f>
        <v>32752</v>
      </c>
      <c r="F168" s="56">
        <f>SUM(F164:F167)</f>
        <v>32.752000000000002</v>
      </c>
      <c r="G168" s="259">
        <f>SUM(G164:G167)</f>
        <v>1</v>
      </c>
      <c r="H168" s="12"/>
      <c r="I168" s="51">
        <f>SUM(I164:I167)</f>
        <v>22926.399999999998</v>
      </c>
      <c r="J168" s="54">
        <f>SUM(J164:J167)</f>
        <v>22.926399999999997</v>
      </c>
      <c r="K168" s="257">
        <f>IF(E168=0,"",I168/E168)</f>
        <v>0.7</v>
      </c>
      <c r="L168" s="12"/>
      <c r="M168" s="51">
        <f>SUM(M164:M167)</f>
        <v>0</v>
      </c>
      <c r="N168" s="51">
        <f>SUM(N164:N167)</f>
        <v>0</v>
      </c>
      <c r="O168" s="77">
        <f>IF($E168=0,"",M168/$E168)</f>
        <v>0</v>
      </c>
      <c r="P168" s="51">
        <f>SUM(P164:P167)</f>
        <v>32.752000000000002</v>
      </c>
    </row>
    <row r="169" spans="3:16" s="64" customFormat="1" ht="12">
      <c r="C169" s="12"/>
      <c r="D169" s="12"/>
      <c r="E169" s="12"/>
      <c r="F169" s="12"/>
      <c r="G169" s="63"/>
      <c r="H169" s="63"/>
      <c r="I169" s="12"/>
      <c r="J169" s="12"/>
      <c r="K169" s="148"/>
      <c r="N169" s="87"/>
    </row>
    <row r="170" spans="3:16" s="64" customFormat="1">
      <c r="D170" s="87"/>
      <c r="G170" s="87"/>
      <c r="K170" s="87"/>
      <c r="N170" s="87"/>
    </row>
    <row r="171" spans="3:16" s="64" customFormat="1">
      <c r="D171" s="87"/>
      <c r="G171" s="87"/>
      <c r="K171" s="87"/>
      <c r="N171" s="87"/>
    </row>
    <row r="172" spans="3:16" s="64" customFormat="1">
      <c r="D172" s="87"/>
      <c r="G172" s="87"/>
      <c r="J172" s="91"/>
      <c r="K172" s="149"/>
      <c r="N172" s="87"/>
    </row>
    <row r="173" spans="3:16" s="7" customFormat="1">
      <c r="G173" s="11"/>
      <c r="H173" s="93"/>
      <c r="K173" s="11"/>
      <c r="N173" s="11"/>
    </row>
    <row r="174" spans="3:16" s="7" customFormat="1">
      <c r="G174" s="137"/>
      <c r="K174" s="11"/>
      <c r="N174" s="11"/>
    </row>
    <row r="175" spans="3:16" s="7" customFormat="1">
      <c r="G175" s="11"/>
      <c r="K175" s="11"/>
      <c r="N175" s="11"/>
    </row>
    <row r="176" spans="3:16" s="7" customFormat="1">
      <c r="G176" s="11"/>
      <c r="K176" s="11"/>
      <c r="N176" s="11"/>
    </row>
    <row r="177" spans="4:31" s="7" customFormat="1">
      <c r="D177" s="94"/>
      <c r="G177" s="11"/>
      <c r="K177" s="11"/>
      <c r="N177" s="11"/>
    </row>
    <row r="178" spans="4:31" s="7" customFormat="1">
      <c r="D178" s="94"/>
      <c r="G178" s="11"/>
      <c r="K178" s="11"/>
      <c r="N178" s="11"/>
    </row>
    <row r="179" spans="4:31" s="7" customFormat="1">
      <c r="D179" s="94"/>
      <c r="G179" s="11"/>
      <c r="K179" s="11"/>
      <c r="N179" s="11"/>
    </row>
    <row r="180" spans="4:31" s="7" customFormat="1">
      <c r="D180" s="94"/>
      <c r="G180" s="11"/>
      <c r="K180" s="11"/>
      <c r="N180" s="11"/>
    </row>
    <row r="181" spans="4:31" s="7" customFormat="1">
      <c r="D181" s="94"/>
      <c r="G181" s="11"/>
      <c r="K181" s="11"/>
      <c r="N181" s="11"/>
    </row>
    <row r="182" spans="4:31" s="7" customFormat="1">
      <c r="G182" s="11"/>
      <c r="K182" s="11"/>
      <c r="N182" s="11"/>
    </row>
    <row r="183" spans="4:31" s="7" customFormat="1">
      <c r="G183" s="11"/>
      <c r="K183" s="11"/>
      <c r="N183" s="11"/>
    </row>
    <row r="184" spans="4:31" s="7" customFormat="1">
      <c r="G184" s="11"/>
      <c r="K184" s="11"/>
      <c r="N184" s="11"/>
    </row>
    <row r="185" spans="4:31" s="7" customFormat="1">
      <c r="G185" s="11"/>
      <c r="K185" s="11"/>
      <c r="N185" s="11"/>
      <c r="AE185" s="95"/>
    </row>
    <row r="186" spans="4:31" s="7" customFormat="1">
      <c r="G186" s="11"/>
      <c r="K186" s="11"/>
      <c r="N186" s="11"/>
    </row>
    <row r="187" spans="4:31" s="7" customFormat="1">
      <c r="G187" s="11"/>
      <c r="K187" s="11"/>
      <c r="N187" s="11"/>
    </row>
    <row r="188" spans="4:31" s="7" customFormat="1">
      <c r="G188" s="11"/>
      <c r="K188" s="11"/>
      <c r="N188" s="11"/>
    </row>
    <row r="189" spans="4:31" s="7" customFormat="1">
      <c r="G189" s="11"/>
      <c r="K189" s="11"/>
      <c r="N189" s="11"/>
    </row>
    <row r="190" spans="4:31" s="7" customFormat="1">
      <c r="G190" s="11"/>
      <c r="K190" s="11"/>
      <c r="N190" s="11"/>
    </row>
    <row r="191" spans="4:31" s="7" customFormat="1">
      <c r="G191" s="11"/>
      <c r="K191" s="11"/>
      <c r="N191" s="11"/>
    </row>
    <row r="192" spans="4:31" s="7" customFormat="1">
      <c r="G192" s="11"/>
      <c r="K192" s="11"/>
      <c r="N192" s="11"/>
    </row>
    <row r="193" spans="3:25" s="7" customFormat="1">
      <c r="G193" s="11"/>
      <c r="K193" s="11"/>
      <c r="N193" s="11"/>
    </row>
    <row r="194" spans="3:25" s="7" customFormat="1">
      <c r="G194" s="11"/>
      <c r="K194" s="11"/>
      <c r="N194" s="11"/>
    </row>
    <row r="195" spans="3:25" s="7" customFormat="1">
      <c r="G195" s="11"/>
      <c r="K195" s="11"/>
      <c r="N195" s="11"/>
      <c r="Y195" s="95"/>
    </row>
    <row r="196" spans="3:25" s="7" customFormat="1">
      <c r="G196" s="11"/>
      <c r="K196" s="11"/>
      <c r="N196" s="11"/>
    </row>
    <row r="197" spans="3:25" s="7" customFormat="1">
      <c r="G197" s="11"/>
      <c r="K197" s="11"/>
      <c r="N197" s="11"/>
    </row>
    <row r="198" spans="3:25" s="7" customFormat="1">
      <c r="G198" s="11"/>
      <c r="K198" s="11"/>
      <c r="N198" s="11"/>
    </row>
    <row r="199" spans="3:25" s="7" customFormat="1">
      <c r="G199" s="11"/>
      <c r="K199" s="11"/>
      <c r="N199" s="11"/>
    </row>
    <row r="200" spans="3:25" s="7" customFormat="1">
      <c r="G200" s="11"/>
      <c r="K200" s="11"/>
      <c r="N200" s="11"/>
    </row>
    <row r="201" spans="3:25" s="7" customFormat="1">
      <c r="G201" s="11"/>
      <c r="K201" s="11"/>
      <c r="N201" s="11"/>
    </row>
    <row r="202" spans="3:25" s="7" customFormat="1">
      <c r="G202" s="11"/>
      <c r="K202" s="11"/>
      <c r="N202" s="11"/>
    </row>
    <row r="203" spans="3:25" s="7" customFormat="1">
      <c r="G203" s="11"/>
      <c r="K203" s="11"/>
      <c r="N203" s="11"/>
    </row>
    <row r="204" spans="3:25" s="7" customFormat="1">
      <c r="G204" s="11"/>
      <c r="K204" s="11"/>
      <c r="N204" s="11"/>
    </row>
    <row r="205" spans="3:25" s="7" customFormat="1" ht="12">
      <c r="F205" s="96"/>
      <c r="G205" s="11"/>
      <c r="J205" s="91"/>
      <c r="K205" s="149"/>
      <c r="N205" s="11"/>
    </row>
    <row r="206" spans="3:25" s="7" customFormat="1" ht="12">
      <c r="F206" s="96"/>
      <c r="G206" s="11"/>
      <c r="J206" s="91"/>
      <c r="K206" s="149"/>
      <c r="N206" s="11"/>
    </row>
    <row r="207" spans="3:25" s="7" customFormat="1" ht="12">
      <c r="F207" s="96"/>
      <c r="G207" s="11"/>
      <c r="J207" s="91"/>
      <c r="K207" s="149"/>
      <c r="N207" s="11"/>
    </row>
    <row r="208" spans="3:25" s="7" customFormat="1" ht="22.8">
      <c r="C208" s="575" t="s">
        <v>53</v>
      </c>
      <c r="D208" s="575"/>
      <c r="E208" s="575"/>
      <c r="F208" s="575"/>
      <c r="G208" s="575"/>
      <c r="H208" s="575"/>
      <c r="I208" s="575"/>
      <c r="J208" s="575"/>
      <c r="K208" s="576"/>
      <c r="L208" s="576"/>
      <c r="N208" s="11"/>
    </row>
    <row r="209" spans="3:31" s="7" customFormat="1">
      <c r="G209" s="11"/>
      <c r="K209" s="11"/>
      <c r="N209" s="11"/>
    </row>
    <row r="210" spans="3:31" s="7" customFormat="1" ht="12.75" customHeight="1">
      <c r="C210" s="20"/>
      <c r="D210" s="20"/>
      <c r="E210" s="42" t="s">
        <v>309</v>
      </c>
      <c r="F210" s="20"/>
      <c r="G210" s="11"/>
      <c r="H210" s="11"/>
      <c r="K210" s="11"/>
      <c r="N210" s="11"/>
    </row>
    <row r="211" spans="3:31" s="7" customFormat="1" ht="12.75" customHeight="1">
      <c r="D211" s="97"/>
      <c r="E211" s="97"/>
      <c r="F211" s="97"/>
      <c r="G211" s="138"/>
      <c r="H211" s="97"/>
      <c r="K211" s="11"/>
      <c r="N211" s="11"/>
    </row>
    <row r="212" spans="3:31" s="7" customFormat="1" ht="12.75" customHeight="1">
      <c r="C212" s="275" t="s">
        <v>140</v>
      </c>
      <c r="D212" s="98"/>
      <c r="E212" s="98"/>
      <c r="F212" s="98"/>
      <c r="G212" s="139"/>
      <c r="H212" s="98"/>
      <c r="I212" s="63" t="s">
        <v>307</v>
      </c>
      <c r="K212" s="11"/>
      <c r="N212" s="147" t="s">
        <v>61</v>
      </c>
      <c r="O212" s="42"/>
      <c r="P212" s="42"/>
      <c r="Q212" s="42"/>
      <c r="R212" s="42"/>
      <c r="S212" s="42"/>
      <c r="T212" s="42"/>
      <c r="U212" s="42" t="s">
        <v>332</v>
      </c>
      <c r="V212" s="42"/>
      <c r="W212" s="42"/>
      <c r="X212" s="42"/>
      <c r="Y212" s="42"/>
      <c r="Z212" s="42"/>
      <c r="AA212" s="12" t="s">
        <v>109</v>
      </c>
    </row>
    <row r="213" spans="3:31" s="7" customFormat="1" ht="12.75" customHeight="1">
      <c r="C213" s="645" t="s">
        <v>26</v>
      </c>
      <c r="D213" s="577" t="s">
        <v>34</v>
      </c>
      <c r="E213" s="577"/>
      <c r="F213" s="577"/>
      <c r="G213" s="655" t="s">
        <v>305</v>
      </c>
      <c r="H213"/>
      <c r="I213" s="578" t="s">
        <v>232</v>
      </c>
      <c r="J213" s="578"/>
      <c r="K213" s="578"/>
      <c r="L213" s="578"/>
      <c r="N213" s="657" t="s">
        <v>286</v>
      </c>
      <c r="O213" s="563" t="s">
        <v>287</v>
      </c>
      <c r="P213" s="585" t="s">
        <v>232</v>
      </c>
      <c r="Q213" s="586"/>
      <c r="R213" s="586"/>
      <c r="S213" s="587"/>
      <c r="U213" s="560" t="s">
        <v>288</v>
      </c>
      <c r="V213" s="578" t="s">
        <v>238</v>
      </c>
      <c r="W213" s="578"/>
      <c r="X213" s="578"/>
      <c r="Y213" s="578"/>
      <c r="AA213" s="554" t="s">
        <v>165</v>
      </c>
      <c r="AB213" s="554"/>
      <c r="AC213" s="554"/>
      <c r="AD213" s="554"/>
      <c r="AE213" s="554"/>
    </row>
    <row r="214" spans="3:31" s="7" customFormat="1" ht="12.75" customHeight="1">
      <c r="C214" s="646"/>
      <c r="D214" s="279" t="s">
        <v>32</v>
      </c>
      <c r="E214" s="279" t="s">
        <v>33</v>
      </c>
      <c r="F214" s="279" t="s">
        <v>27</v>
      </c>
      <c r="G214" s="656"/>
      <c r="H214"/>
      <c r="I214" s="279" t="s">
        <v>35</v>
      </c>
      <c r="J214" s="279" t="s">
        <v>36</v>
      </c>
      <c r="K214" s="278" t="s">
        <v>27</v>
      </c>
      <c r="L214" s="280" t="s">
        <v>25</v>
      </c>
      <c r="N214" s="658"/>
      <c r="O214" s="565"/>
      <c r="P214" s="279" t="s">
        <v>35</v>
      </c>
      <c r="Q214" s="279" t="s">
        <v>36</v>
      </c>
      <c r="R214" s="279" t="s">
        <v>27</v>
      </c>
      <c r="S214" s="280" t="s">
        <v>25</v>
      </c>
      <c r="U214" s="562"/>
      <c r="V214" s="279" t="s">
        <v>35</v>
      </c>
      <c r="W214" s="279" t="s">
        <v>36</v>
      </c>
      <c r="X214" s="279" t="s">
        <v>27</v>
      </c>
      <c r="Y214" s="280" t="s">
        <v>25</v>
      </c>
      <c r="AA214" s="598" t="s">
        <v>277</v>
      </c>
      <c r="AB214" s="612"/>
      <c r="AC214" s="612"/>
      <c r="AD214" s="612"/>
      <c r="AE214" s="613"/>
    </row>
    <row r="215" spans="3:31" s="7" customFormat="1" ht="12.75" customHeight="1">
      <c r="C215" s="283" t="s">
        <v>396</v>
      </c>
      <c r="D215" s="512">
        <f>265320*1.25</f>
        <v>331650</v>
      </c>
      <c r="E215" s="233"/>
      <c r="F215" s="233"/>
      <c r="G215" s="285">
        <f>_xlfn.IFNA(VLOOKUP($C215,'Facteurs d''émission'!$D$2:$I$340,2,FALSE),"Non renseigné")</f>
        <v>0.27</v>
      </c>
      <c r="H215"/>
      <c r="I215" s="3">
        <f>IFERROR(D215*$G215,0)</f>
        <v>89545.5</v>
      </c>
      <c r="J215" s="3">
        <f>IFERROR(E215*$G215,0)</f>
        <v>0</v>
      </c>
      <c r="K215" s="3">
        <f>IFERROR(F215*$G215,0)</f>
        <v>0</v>
      </c>
      <c r="L215" s="3">
        <f t="shared" ref="L215:L219" si="24">SUM(I215:K215)</f>
        <v>89545.5</v>
      </c>
      <c r="N215" s="90">
        <f>_xlfn.IFNA(VLOOKUP($C215,'Facteurs d''émission'!$D$2:$I$340,4,FALSE),"Non présent dans la base")</f>
        <v>0.6</v>
      </c>
      <c r="O215" s="224"/>
      <c r="P215" s="85">
        <f t="shared" ref="P215:R216" si="25">I215*(1-(1-$N215)*(1-$O215))</f>
        <v>53727.299999999996</v>
      </c>
      <c r="Q215" s="85">
        <f t="shared" si="25"/>
        <v>0</v>
      </c>
      <c r="R215" s="85">
        <f t="shared" si="25"/>
        <v>0</v>
      </c>
      <c r="S215" s="3">
        <f t="shared" ref="S215:S220" si="26">SUM(P215:R215)</f>
        <v>53727.299999999996</v>
      </c>
      <c r="T215" s="7" t="str">
        <f>IF(COUNTA(D215:F215)*COUNTA(O215)&gt;0,"ok","")</f>
        <v/>
      </c>
      <c r="U215" s="225"/>
      <c r="V215" s="3">
        <f t="shared" ref="V215:X216" si="27">$U215*I215</f>
        <v>0</v>
      </c>
      <c r="W215" s="3">
        <f t="shared" si="27"/>
        <v>0</v>
      </c>
      <c r="X215" s="3">
        <f t="shared" si="27"/>
        <v>0</v>
      </c>
      <c r="Y215" s="3">
        <f>SUM(V215:X215)</f>
        <v>0</v>
      </c>
      <c r="AA215" s="614"/>
      <c r="AB215" s="615"/>
      <c r="AC215" s="615"/>
      <c r="AD215" s="615"/>
      <c r="AE215" s="616"/>
    </row>
    <row r="216" spans="3:31" s="7" customFormat="1" ht="12.75" customHeight="1">
      <c r="C216" s="283" t="s">
        <v>397</v>
      </c>
      <c r="D216" s="512">
        <f>132660*1.25</f>
        <v>165825</v>
      </c>
      <c r="E216" s="233"/>
      <c r="F216" s="233"/>
      <c r="G216" s="285">
        <f>_xlfn.IFNA(VLOOKUP($C216,'Facteurs d''émission'!$D$2:$I$340,2,FALSE),"Non renseigné")</f>
        <v>0.24</v>
      </c>
      <c r="H216"/>
      <c r="I216" s="3">
        <f t="shared" ref="I216:I220" si="28">IFERROR(D216*$G216,0)</f>
        <v>39798</v>
      </c>
      <c r="J216" s="3">
        <f t="shared" ref="J216:J220" si="29">IFERROR(E216*$G216,0)</f>
        <v>0</v>
      </c>
      <c r="K216" s="3">
        <f t="shared" ref="K216:K220" si="30">IFERROR(F216*$G216,0)</f>
        <v>0</v>
      </c>
      <c r="L216" s="3">
        <f t="shared" si="24"/>
        <v>39798</v>
      </c>
      <c r="N216" s="90">
        <f>_xlfn.IFNA(VLOOKUP($C216,'Facteurs d''émission'!$D$2:$I$340,4,FALSE),"Non présent dans la base")</f>
        <v>0.6</v>
      </c>
      <c r="O216" s="224"/>
      <c r="P216" s="85">
        <f t="shared" si="25"/>
        <v>23878.799999999999</v>
      </c>
      <c r="Q216" s="85">
        <f t="shared" si="25"/>
        <v>0</v>
      </c>
      <c r="R216" s="85">
        <f t="shared" si="25"/>
        <v>0</v>
      </c>
      <c r="S216" s="3">
        <f t="shared" si="26"/>
        <v>23878.799999999999</v>
      </c>
      <c r="T216" s="7" t="str">
        <f t="shared" ref="T216:T220" si="31">IF(COUNTA(D216:F216)*COUNTA(O216)&gt;0,"ok","")</f>
        <v/>
      </c>
      <c r="U216" s="225"/>
      <c r="V216" s="3">
        <f t="shared" si="27"/>
        <v>0</v>
      </c>
      <c r="W216" s="3">
        <f t="shared" si="27"/>
        <v>0</v>
      </c>
      <c r="X216" s="3">
        <f t="shared" si="27"/>
        <v>0</v>
      </c>
      <c r="Y216" s="3">
        <f>SUM(V216:X216)</f>
        <v>0</v>
      </c>
      <c r="AA216" s="614"/>
      <c r="AB216" s="615"/>
      <c r="AC216" s="615"/>
      <c r="AD216" s="615"/>
      <c r="AE216" s="616"/>
    </row>
    <row r="217" spans="3:31" s="7" customFormat="1" ht="12.75" customHeight="1">
      <c r="C217" s="284" t="s">
        <v>306</v>
      </c>
      <c r="D217" s="512"/>
      <c r="E217" s="233"/>
      <c r="F217" s="233"/>
      <c r="G217" s="285">
        <f>_xlfn.IFNA(VLOOKUP($C217,'Facteurs d''émission'!$D$2:$I$340,2,FALSE),"Non renseigné")</f>
        <v>0</v>
      </c>
      <c r="H217"/>
      <c r="I217" s="3">
        <f t="shared" si="28"/>
        <v>0</v>
      </c>
      <c r="J217" s="3">
        <f t="shared" si="29"/>
        <v>0</v>
      </c>
      <c r="K217" s="3">
        <f t="shared" si="30"/>
        <v>0</v>
      </c>
      <c r="L217" s="3">
        <f t="shared" si="24"/>
        <v>0</v>
      </c>
      <c r="N217" s="90">
        <f>_xlfn.IFNA(VLOOKUP($C217,'Facteurs d''émission'!$D$2:$I$340,4,FALSE),"Non présent dans la base")</f>
        <v>0</v>
      </c>
      <c r="O217" s="224"/>
      <c r="P217" s="85">
        <f t="shared" ref="P217:R218" si="32">I217*(1-(1-$N217)*(1-$O217))</f>
        <v>0</v>
      </c>
      <c r="Q217" s="85">
        <f t="shared" si="32"/>
        <v>0</v>
      </c>
      <c r="R217" s="85">
        <f t="shared" si="32"/>
        <v>0</v>
      </c>
      <c r="S217" s="3">
        <f t="shared" si="26"/>
        <v>0</v>
      </c>
      <c r="T217" s="7" t="str">
        <f t="shared" si="31"/>
        <v/>
      </c>
      <c r="U217" s="225"/>
      <c r="V217" s="85">
        <f t="shared" ref="V217:X218" si="33">$U217*I217</f>
        <v>0</v>
      </c>
      <c r="W217" s="85">
        <f t="shared" si="33"/>
        <v>0</v>
      </c>
      <c r="X217" s="85">
        <f t="shared" si="33"/>
        <v>0</v>
      </c>
      <c r="Y217" s="3">
        <f t="shared" ref="Y217:Y220" si="34">SUM(V217:X217)</f>
        <v>0</v>
      </c>
      <c r="AA217" s="614"/>
      <c r="AB217" s="615"/>
      <c r="AC217" s="615"/>
      <c r="AD217" s="615"/>
      <c r="AE217" s="616"/>
    </row>
    <row r="218" spans="3:31" s="7" customFormat="1" ht="12.75" customHeight="1">
      <c r="C218" s="284" t="s">
        <v>306</v>
      </c>
      <c r="D218" s="512"/>
      <c r="E218" s="233"/>
      <c r="F218" s="233"/>
      <c r="G218" s="285">
        <f>_xlfn.IFNA(VLOOKUP($C218,'Facteurs d''émission'!$D$2:$I$340,2,FALSE),"Non renseigné")</f>
        <v>0</v>
      </c>
      <c r="H218"/>
      <c r="I218" s="3">
        <f t="shared" si="28"/>
        <v>0</v>
      </c>
      <c r="J218" s="3">
        <f t="shared" si="29"/>
        <v>0</v>
      </c>
      <c r="K218" s="3">
        <f t="shared" si="30"/>
        <v>0</v>
      </c>
      <c r="L218" s="3">
        <f t="shared" si="24"/>
        <v>0</v>
      </c>
      <c r="N218" s="90">
        <f>_xlfn.IFNA(VLOOKUP($C218,'Facteurs d''émission'!$D$2:$I$340,4,FALSE),"Non présent dans la base")</f>
        <v>0</v>
      </c>
      <c r="O218" s="224"/>
      <c r="P218" s="85">
        <f t="shared" si="32"/>
        <v>0</v>
      </c>
      <c r="Q218" s="85">
        <f t="shared" si="32"/>
        <v>0</v>
      </c>
      <c r="R218" s="85">
        <f t="shared" si="32"/>
        <v>0</v>
      </c>
      <c r="S218" s="3">
        <f t="shared" si="26"/>
        <v>0</v>
      </c>
      <c r="T218" s="7" t="str">
        <f t="shared" si="31"/>
        <v/>
      </c>
      <c r="U218" s="225"/>
      <c r="V218" s="85">
        <f t="shared" si="33"/>
        <v>0</v>
      </c>
      <c r="W218" s="85">
        <f t="shared" si="33"/>
        <v>0</v>
      </c>
      <c r="X218" s="85">
        <f t="shared" si="33"/>
        <v>0</v>
      </c>
      <c r="Y218" s="3">
        <f t="shared" si="34"/>
        <v>0</v>
      </c>
      <c r="AA218" s="614"/>
      <c r="AB218" s="615"/>
      <c r="AC218" s="615"/>
      <c r="AD218" s="615"/>
      <c r="AE218" s="616"/>
    </row>
    <row r="219" spans="3:31" s="7" customFormat="1" ht="12.75" customHeight="1">
      <c r="C219" s="284" t="s">
        <v>306</v>
      </c>
      <c r="D219" s="512"/>
      <c r="E219" s="233"/>
      <c r="F219" s="233"/>
      <c r="G219" s="285">
        <f>_xlfn.IFNA(VLOOKUP($C219,'Facteurs d''émission'!$D$2:$I$340,2,FALSE),"Non renseigné")</f>
        <v>0</v>
      </c>
      <c r="H219"/>
      <c r="I219" s="3">
        <f t="shared" si="28"/>
        <v>0</v>
      </c>
      <c r="J219" s="3">
        <f t="shared" si="29"/>
        <v>0</v>
      </c>
      <c r="K219" s="3">
        <f t="shared" si="30"/>
        <v>0</v>
      </c>
      <c r="L219" s="3">
        <f t="shared" si="24"/>
        <v>0</v>
      </c>
      <c r="N219" s="90">
        <f>_xlfn.IFNA(VLOOKUP($C219,'Facteurs d''émission'!$D$2:$I$340,4,FALSE),"Non présent dans la base")</f>
        <v>0</v>
      </c>
      <c r="O219" s="224"/>
      <c r="P219" s="85">
        <f t="shared" ref="P219:R220" si="35">I219*(1-(1-$N219)*(1-$O219))</f>
        <v>0</v>
      </c>
      <c r="Q219" s="85">
        <f t="shared" si="35"/>
        <v>0</v>
      </c>
      <c r="R219" s="85">
        <f t="shared" si="35"/>
        <v>0</v>
      </c>
      <c r="S219" s="3">
        <f t="shared" si="26"/>
        <v>0</v>
      </c>
      <c r="T219" s="7" t="str">
        <f t="shared" si="31"/>
        <v/>
      </c>
      <c r="U219" s="225"/>
      <c r="V219" s="85">
        <f t="shared" ref="V219:X220" si="36">$U219*I219</f>
        <v>0</v>
      </c>
      <c r="W219" s="85">
        <f t="shared" si="36"/>
        <v>0</v>
      </c>
      <c r="X219" s="85">
        <f t="shared" si="36"/>
        <v>0</v>
      </c>
      <c r="Y219" s="3">
        <f t="shared" si="34"/>
        <v>0</v>
      </c>
      <c r="AA219" s="614"/>
      <c r="AB219" s="615"/>
      <c r="AC219" s="615"/>
      <c r="AD219" s="615"/>
      <c r="AE219" s="616"/>
    </row>
    <row r="220" spans="3:31" s="7" customFormat="1" ht="12.75" customHeight="1">
      <c r="C220" s="284" t="s">
        <v>306</v>
      </c>
      <c r="D220" s="512"/>
      <c r="E220" s="233"/>
      <c r="F220" s="233"/>
      <c r="G220" s="285">
        <f>_xlfn.IFNA(VLOOKUP($C220,'Facteurs d''émission'!$D$2:$I$340,2,FALSE),"Non renseigné")</f>
        <v>0</v>
      </c>
      <c r="H220"/>
      <c r="I220" s="3">
        <f t="shared" si="28"/>
        <v>0</v>
      </c>
      <c r="J220" s="3">
        <f t="shared" si="29"/>
        <v>0</v>
      </c>
      <c r="K220" s="3">
        <f t="shared" si="30"/>
        <v>0</v>
      </c>
      <c r="L220" s="3">
        <f>SUM(I220:K220)</f>
        <v>0</v>
      </c>
      <c r="N220" s="90">
        <f>_xlfn.IFNA(VLOOKUP($C220,'Facteurs d''émission'!$D$2:$I$340,4,FALSE),"Non présent dans la base")</f>
        <v>0</v>
      </c>
      <c r="O220" s="224"/>
      <c r="P220" s="85">
        <f t="shared" si="35"/>
        <v>0</v>
      </c>
      <c r="Q220" s="85">
        <f t="shared" si="35"/>
        <v>0</v>
      </c>
      <c r="R220" s="85">
        <f t="shared" si="35"/>
        <v>0</v>
      </c>
      <c r="S220" s="3">
        <f t="shared" si="26"/>
        <v>0</v>
      </c>
      <c r="T220" s="7" t="str">
        <f t="shared" si="31"/>
        <v/>
      </c>
      <c r="U220" s="225"/>
      <c r="V220" s="85">
        <f t="shared" si="36"/>
        <v>0</v>
      </c>
      <c r="W220" s="85">
        <f t="shared" si="36"/>
        <v>0</v>
      </c>
      <c r="X220" s="85">
        <f t="shared" si="36"/>
        <v>0</v>
      </c>
      <c r="Y220" s="3">
        <f t="shared" si="34"/>
        <v>0</v>
      </c>
      <c r="AA220" s="614"/>
      <c r="AB220" s="615"/>
      <c r="AC220" s="615"/>
      <c r="AD220" s="615"/>
      <c r="AE220" s="616"/>
    </row>
    <row r="221" spans="3:31" s="12" customFormat="1" ht="12.75" customHeight="1">
      <c r="C221" s="99" t="s">
        <v>25</v>
      </c>
      <c r="D221" s="511">
        <f>SUM(D215:D220)</f>
        <v>497475</v>
      </c>
      <c r="E221" s="286">
        <f t="shared" ref="E221:F221" si="37">SUM(E215:E220)</f>
        <v>0</v>
      </c>
      <c r="F221" s="286">
        <f t="shared" si="37"/>
        <v>0</v>
      </c>
      <c r="G221" s="281"/>
      <c r="H221"/>
      <c r="I221" s="282">
        <f>SUM(I215:I220)</f>
        <v>129343.5</v>
      </c>
      <c r="J221" s="58">
        <f t="shared" ref="J221:L221" si="38">SUM(J215:J220)</f>
        <v>0</v>
      </c>
      <c r="K221" s="58">
        <f t="shared" si="38"/>
        <v>0</v>
      </c>
      <c r="L221" s="58">
        <f t="shared" si="38"/>
        <v>129343.5</v>
      </c>
      <c r="N221" s="637" t="str">
        <f>IF(COUNTA(D215:F220)&gt;COUNTIF(T215:T220,"ok"),"! Remplir une incertitude !","")</f>
        <v>! Remplir une incertitude !</v>
      </c>
      <c r="O221" s="638"/>
      <c r="P221" s="51">
        <f>SUM(P215:P220)</f>
        <v>77606.099999999991</v>
      </c>
      <c r="Q221" s="51">
        <f t="shared" ref="Q221:S221" si="39">SUM(Q215:Q220)</f>
        <v>0</v>
      </c>
      <c r="R221" s="51">
        <f t="shared" si="39"/>
        <v>0</v>
      </c>
      <c r="S221" s="51">
        <f t="shared" si="39"/>
        <v>77606.099999999991</v>
      </c>
      <c r="U221" s="287"/>
      <c r="V221" s="51">
        <f>SUM(V215:V220)</f>
        <v>0</v>
      </c>
      <c r="W221" s="51">
        <f t="shared" ref="W221:Y221" si="40">SUM(W215:W220)</f>
        <v>0</v>
      </c>
      <c r="X221" s="51">
        <f t="shared" si="40"/>
        <v>0</v>
      </c>
      <c r="Y221" s="51">
        <f t="shared" si="40"/>
        <v>0</v>
      </c>
      <c r="AA221" s="620" t="str">
        <f>IF(Y221&gt;0,IF(AA214="","Attention: vous devez planifier une action afin de remplir votre objectif",""),"")</f>
        <v/>
      </c>
      <c r="AB221" s="620"/>
      <c r="AC221" s="620"/>
      <c r="AD221" s="620"/>
      <c r="AE221" s="620"/>
    </row>
    <row r="222" spans="3:31" s="7" customFormat="1" ht="37.5" customHeight="1">
      <c r="C222" s="97"/>
      <c r="D222" s="98"/>
      <c r="E222" s="98"/>
      <c r="F222" s="98"/>
      <c r="G222" s="139"/>
      <c r="H222" s="100"/>
      <c r="I222" s="11"/>
      <c r="J222" s="11"/>
      <c r="K222" s="11"/>
      <c r="L222" s="63"/>
      <c r="N222" s="11"/>
      <c r="P222" s="100"/>
      <c r="Q222" s="11"/>
      <c r="R222" s="11"/>
      <c r="S222" s="11"/>
      <c r="T222" s="63"/>
      <c r="W222" s="100"/>
      <c r="X222" s="11"/>
      <c r="Y222" s="11"/>
      <c r="Z222" s="11"/>
      <c r="AA222" s="63"/>
    </row>
    <row r="223" spans="3:31" s="7" customFormat="1" ht="12.75" customHeight="1">
      <c r="C223" s="97"/>
      <c r="D223" s="98"/>
      <c r="E223" s="12" t="s">
        <v>308</v>
      </c>
      <c r="F223" s="98"/>
      <c r="G223" s="139"/>
      <c r="H223" s="100"/>
      <c r="I223" s="11"/>
      <c r="J223" s="11"/>
      <c r="K223" s="11"/>
      <c r="L223" s="63"/>
      <c r="N223" s="11"/>
      <c r="P223" s="100"/>
      <c r="Q223" s="11"/>
      <c r="R223" s="11"/>
      <c r="S223" s="11"/>
      <c r="T223" s="63"/>
      <c r="W223" s="100"/>
      <c r="X223" s="11"/>
      <c r="Y223" s="11"/>
      <c r="Z223" s="11"/>
      <c r="AA223" s="63"/>
    </row>
    <row r="224" spans="3:31" s="7" customFormat="1" ht="12.75" customHeight="1">
      <c r="C224" s="97"/>
      <c r="D224" s="98"/>
      <c r="E224" s="98"/>
      <c r="F224" s="98"/>
      <c r="G224" s="139"/>
      <c r="H224" s="98"/>
      <c r="I224" s="98"/>
      <c r="J224" s="98"/>
      <c r="K224" s="139"/>
      <c r="L224" s="101"/>
      <c r="M224" s="101"/>
      <c r="N224" s="11"/>
      <c r="P224" s="63"/>
    </row>
    <row r="225" spans="3:31" s="7" customFormat="1" ht="12.75" customHeight="1">
      <c r="C225" s="275" t="s">
        <v>141</v>
      </c>
      <c r="D225" s="97"/>
      <c r="E225" s="97"/>
      <c r="F225" s="97"/>
      <c r="G225" s="138"/>
      <c r="H225" s="97"/>
      <c r="I225" s="63" t="s">
        <v>307</v>
      </c>
      <c r="K225" s="11"/>
      <c r="N225" s="147" t="s">
        <v>61</v>
      </c>
      <c r="O225" s="42"/>
      <c r="P225" s="42"/>
      <c r="Q225" s="42"/>
      <c r="R225" s="42"/>
      <c r="S225" s="42"/>
      <c r="U225" s="42" t="s">
        <v>332</v>
      </c>
      <c r="V225" s="42"/>
      <c r="W225" s="42"/>
      <c r="X225" s="42"/>
      <c r="Y225" s="42"/>
      <c r="AA225" s="12" t="s">
        <v>109</v>
      </c>
    </row>
    <row r="226" spans="3:31" s="7" customFormat="1" ht="12.75" customHeight="1">
      <c r="C226" s="645" t="s">
        <v>92</v>
      </c>
      <c r="D226" s="641" t="s">
        <v>167</v>
      </c>
      <c r="E226" s="641"/>
      <c r="F226" s="641"/>
      <c r="G226" s="647" t="s">
        <v>329</v>
      </c>
      <c r="H226"/>
      <c r="I226" s="627" t="s">
        <v>232</v>
      </c>
      <c r="J226" s="627"/>
      <c r="K226" s="627"/>
      <c r="L226" s="627"/>
      <c r="N226" s="649" t="s">
        <v>286</v>
      </c>
      <c r="O226" s="560" t="s">
        <v>287</v>
      </c>
      <c r="P226" s="585" t="s">
        <v>232</v>
      </c>
      <c r="Q226" s="586"/>
      <c r="R226" s="586"/>
      <c r="S226" s="587"/>
      <c r="T226" s="9"/>
      <c r="U226" s="560" t="s">
        <v>288</v>
      </c>
      <c r="V226" s="578" t="s">
        <v>238</v>
      </c>
      <c r="W226" s="578"/>
      <c r="X226" s="578"/>
      <c r="Y226" s="578"/>
      <c r="AA226" s="554" t="s">
        <v>165</v>
      </c>
      <c r="AB226" s="554"/>
      <c r="AC226" s="554"/>
      <c r="AD226" s="554"/>
      <c r="AE226" s="554"/>
    </row>
    <row r="227" spans="3:31" s="7" customFormat="1" ht="12.75" customHeight="1">
      <c r="C227" s="646"/>
      <c r="D227" s="304" t="s">
        <v>32</v>
      </c>
      <c r="E227" s="279" t="s">
        <v>33</v>
      </c>
      <c r="F227" s="304" t="s">
        <v>27</v>
      </c>
      <c r="G227" s="648"/>
      <c r="H227"/>
      <c r="I227" s="279" t="s">
        <v>35</v>
      </c>
      <c r="J227" s="279" t="s">
        <v>36</v>
      </c>
      <c r="K227" s="278" t="s">
        <v>27</v>
      </c>
      <c r="L227" s="280" t="s">
        <v>25</v>
      </c>
      <c r="N227" s="650"/>
      <c r="O227" s="562"/>
      <c r="P227" s="279" t="s">
        <v>35</v>
      </c>
      <c r="Q227" s="279" t="s">
        <v>36</v>
      </c>
      <c r="R227" s="279" t="s">
        <v>27</v>
      </c>
      <c r="S227" s="280" t="s">
        <v>25</v>
      </c>
      <c r="T227" s="82"/>
      <c r="U227" s="562"/>
      <c r="V227" s="279" t="s">
        <v>35</v>
      </c>
      <c r="W227" s="279" t="s">
        <v>36</v>
      </c>
      <c r="X227" s="279" t="s">
        <v>27</v>
      </c>
      <c r="Y227" s="280" t="s">
        <v>25</v>
      </c>
      <c r="AA227" s="598" t="s">
        <v>275</v>
      </c>
      <c r="AB227" s="612"/>
      <c r="AC227" s="612"/>
      <c r="AD227" s="612"/>
      <c r="AE227" s="613"/>
    </row>
    <row r="228" spans="3:31" s="7" customFormat="1" ht="12.75" customHeight="1">
      <c r="C228" s="295" t="s">
        <v>399</v>
      </c>
      <c r="D228" s="512">
        <f>64800*1.25</f>
        <v>81000</v>
      </c>
      <c r="E228" s="233"/>
      <c r="F228" s="512"/>
      <c r="G228" s="266">
        <f>_xlfn.IFNA(VLOOKUP($C228,'Facteurs d''émission'!$D$2:$I$340,2,FALSE),"Non renseigné")</f>
        <v>0.2</v>
      </c>
      <c r="H228"/>
      <c r="I228" s="102">
        <f t="shared" ref="I228:K237" si="41">D228*$G228</f>
        <v>16200</v>
      </c>
      <c r="J228" s="102">
        <f t="shared" si="41"/>
        <v>0</v>
      </c>
      <c r="K228" s="102">
        <f t="shared" si="41"/>
        <v>0</v>
      </c>
      <c r="L228" s="3">
        <f>SUM(I228:K228)</f>
        <v>16200</v>
      </c>
      <c r="N228" s="230">
        <f>_xlfn.IFNA(VLOOKUP($C228,'Facteurs d''émission'!$D$2:$I$340,4,FALSE),"Non présent dans la base")</f>
        <v>0.6</v>
      </c>
      <c r="O228" s="224"/>
      <c r="P228" s="3">
        <f t="shared" ref="P228:R237" si="42">I228*(1-(1-$N228)*(1-$O228))</f>
        <v>9720</v>
      </c>
      <c r="Q228" s="3">
        <f t="shared" si="42"/>
        <v>0</v>
      </c>
      <c r="R228" s="3">
        <f t="shared" si="42"/>
        <v>0</v>
      </c>
      <c r="S228" s="3">
        <f>SUM(P228:R228)</f>
        <v>9720</v>
      </c>
      <c r="T228" s="7" t="str">
        <f>IF(COUNTA(D228:F228)*COUNTA(O228)&gt;0,"ok","")</f>
        <v/>
      </c>
      <c r="U228" s="235"/>
      <c r="V228" s="3">
        <f t="shared" ref="V228:X237" si="43">$U228*I228</f>
        <v>0</v>
      </c>
      <c r="W228" s="3">
        <f t="shared" si="43"/>
        <v>0</v>
      </c>
      <c r="X228" s="3">
        <f t="shared" si="43"/>
        <v>0</v>
      </c>
      <c r="Y228" s="3">
        <f>SUM(V228:X228)</f>
        <v>0</v>
      </c>
      <c r="AA228" s="614"/>
      <c r="AB228" s="615"/>
      <c r="AC228" s="615"/>
      <c r="AD228" s="615"/>
      <c r="AE228" s="616"/>
    </row>
    <row r="229" spans="3:31" s="7" customFormat="1" ht="12.75" customHeight="1">
      <c r="C229" s="157" t="s">
        <v>398</v>
      </c>
      <c r="D229" s="512"/>
      <c r="E229" s="233"/>
      <c r="F229" s="233"/>
      <c r="G229" s="266">
        <f>_xlfn.IFNA(VLOOKUP($C229,'Facteurs d''émission'!$D$2:$I$340,2,FALSE),"Non renseigné")</f>
        <v>0.15</v>
      </c>
      <c r="H229"/>
      <c r="I229" s="102">
        <f t="shared" si="41"/>
        <v>0</v>
      </c>
      <c r="J229" s="102">
        <f t="shared" si="41"/>
        <v>0</v>
      </c>
      <c r="K229" s="102">
        <f t="shared" si="41"/>
        <v>0</v>
      </c>
      <c r="L229" s="3">
        <f>SUM(I229:K229)</f>
        <v>0</v>
      </c>
      <c r="N229" s="230">
        <f>_xlfn.IFNA(VLOOKUP($C229,'Facteurs d''émission'!$D$2:$I$340,4,FALSE),"Non présent dans la base")</f>
        <v>0.6</v>
      </c>
      <c r="O229" s="224"/>
      <c r="P229" s="3">
        <f t="shared" si="42"/>
        <v>0</v>
      </c>
      <c r="Q229" s="3">
        <f t="shared" si="42"/>
        <v>0</v>
      </c>
      <c r="R229" s="3">
        <f t="shared" si="42"/>
        <v>0</v>
      </c>
      <c r="S229" s="3">
        <f>SUM(P229:R229)</f>
        <v>0</v>
      </c>
      <c r="T229" s="7" t="str">
        <f t="shared" ref="T229:T237" si="44">IF(COUNTA(D229:F229)*COUNTA(O229)&gt;0,"ok","")</f>
        <v/>
      </c>
      <c r="U229" s="235"/>
      <c r="V229" s="3">
        <f t="shared" si="43"/>
        <v>0</v>
      </c>
      <c r="W229" s="3">
        <f t="shared" si="43"/>
        <v>0</v>
      </c>
      <c r="X229" s="3">
        <f t="shared" si="43"/>
        <v>0</v>
      </c>
      <c r="Y229" s="3">
        <f>SUM(V229:X229)</f>
        <v>0</v>
      </c>
      <c r="AA229" s="614"/>
      <c r="AB229" s="615"/>
      <c r="AC229" s="615"/>
      <c r="AD229" s="615"/>
      <c r="AE229" s="616"/>
    </row>
    <row r="230" spans="3:31" s="7" customFormat="1" ht="12.75" customHeight="1">
      <c r="C230" s="157" t="s">
        <v>222</v>
      </c>
      <c r="D230" s="512"/>
      <c r="E230" s="233"/>
      <c r="F230" s="233"/>
      <c r="G230" s="266">
        <f>_xlfn.IFNA(VLOOKUP($C230,'Facteurs d''émission'!$D$2:$I$340,2,FALSE),"Non renseigné")</f>
        <v>0.15</v>
      </c>
      <c r="H230"/>
      <c r="I230" s="102">
        <f t="shared" si="41"/>
        <v>0</v>
      </c>
      <c r="J230" s="102">
        <f t="shared" si="41"/>
        <v>0</v>
      </c>
      <c r="K230" s="102">
        <f t="shared" si="41"/>
        <v>0</v>
      </c>
      <c r="L230" s="3">
        <f>SUM(I230:K230)</f>
        <v>0</v>
      </c>
      <c r="N230" s="230">
        <f>_xlfn.IFNA(VLOOKUP($C230,'Facteurs d''émission'!$D$2:$I$340,4,FALSE),"Non présent dans la base")</f>
        <v>0.6</v>
      </c>
      <c r="O230" s="224"/>
      <c r="P230" s="3">
        <f t="shared" si="42"/>
        <v>0</v>
      </c>
      <c r="Q230" s="3">
        <f t="shared" si="42"/>
        <v>0</v>
      </c>
      <c r="R230" s="3">
        <f t="shared" si="42"/>
        <v>0</v>
      </c>
      <c r="S230" s="3">
        <f>SUM(P230:R230)</f>
        <v>0</v>
      </c>
      <c r="T230" s="7" t="str">
        <f t="shared" si="44"/>
        <v/>
      </c>
      <c r="U230" s="235"/>
      <c r="V230" s="3">
        <f t="shared" si="43"/>
        <v>0</v>
      </c>
      <c r="W230" s="3">
        <f t="shared" si="43"/>
        <v>0</v>
      </c>
      <c r="X230" s="3">
        <f t="shared" si="43"/>
        <v>0</v>
      </c>
      <c r="Y230" s="3">
        <f>SUM(V230:X230)</f>
        <v>0</v>
      </c>
      <c r="AA230" s="614"/>
      <c r="AB230" s="615"/>
      <c r="AC230" s="615"/>
      <c r="AD230" s="615"/>
      <c r="AE230" s="616"/>
    </row>
    <row r="231" spans="3:31" s="7" customFormat="1" ht="12.75" customHeight="1">
      <c r="C231" s="157" t="s">
        <v>401</v>
      </c>
      <c r="D231" s="512"/>
      <c r="E231" s="233"/>
      <c r="F231" s="233"/>
      <c r="G231" s="305">
        <f>_xlfn.IFNA(VLOOKUP($C231,'Facteurs d''émission'!$D$2:$I$340,2,FALSE),"Non renseigné")</f>
        <v>4.4000000000000003E-3</v>
      </c>
      <c r="H231"/>
      <c r="I231" s="102">
        <f t="shared" ref="I231:I236" si="45">D231*$G231</f>
        <v>0</v>
      </c>
      <c r="J231" s="102">
        <f t="shared" ref="J231:J236" si="46">E231*$G231</f>
        <v>0</v>
      </c>
      <c r="K231" s="102">
        <f t="shared" ref="K231:K236" si="47">F231*$G231</f>
        <v>0</v>
      </c>
      <c r="L231" s="3">
        <f t="shared" ref="L231:L236" si="48">SUM(I231:K231)</f>
        <v>0</v>
      </c>
      <c r="N231" s="230">
        <f>_xlfn.IFNA(VLOOKUP($C231,'Facteurs d''émission'!$D$2:$I$340,4,FALSE),"Non présent dans la base")</f>
        <v>0.2</v>
      </c>
      <c r="O231" s="223"/>
      <c r="P231" s="3">
        <f t="shared" ref="P231:P236" si="49">I231*(1-(1-$N231)*(1-$O231))</f>
        <v>0</v>
      </c>
      <c r="Q231" s="3">
        <f t="shared" ref="Q231:Q236" si="50">J231*(1-(1-$N231)*(1-$O231))</f>
        <v>0</v>
      </c>
      <c r="R231" s="3">
        <f t="shared" ref="R231:R236" si="51">K231*(1-(1-$N231)*(1-$O231))</f>
        <v>0</v>
      </c>
      <c r="S231" s="3">
        <f t="shared" ref="S231:S236" si="52">SUM(P231:R231)</f>
        <v>0</v>
      </c>
      <c r="T231" s="7" t="str">
        <f t="shared" si="44"/>
        <v/>
      </c>
      <c r="U231" s="236"/>
      <c r="V231" s="3">
        <f t="shared" ref="V231:V236" si="53">$U231*I231</f>
        <v>0</v>
      </c>
      <c r="W231" s="3">
        <f t="shared" ref="W231:W236" si="54">$U231*J231</f>
        <v>0</v>
      </c>
      <c r="X231" s="3">
        <f t="shared" ref="X231:X236" si="55">$U231*K231</f>
        <v>0</v>
      </c>
      <c r="Y231" s="3">
        <f t="shared" ref="Y231:Y236" si="56">SUM(V231:X231)</f>
        <v>0</v>
      </c>
      <c r="AA231" s="614"/>
      <c r="AB231" s="615"/>
      <c r="AC231" s="615"/>
      <c r="AD231" s="615"/>
      <c r="AE231" s="616"/>
    </row>
    <row r="232" spans="3:31" s="7" customFormat="1" ht="12.75" customHeight="1">
      <c r="C232" s="157" t="s">
        <v>400</v>
      </c>
      <c r="D232" s="512"/>
      <c r="E232" s="233"/>
      <c r="F232" s="233"/>
      <c r="G232" s="305">
        <f>_xlfn.IFNA(VLOOKUP($C232,'Facteurs d''émission'!$D$2:$I$340,2,FALSE),"Non renseigné")</f>
        <v>9.7999999999999997E-3</v>
      </c>
      <c r="H232"/>
      <c r="I232" s="102">
        <f t="shared" si="45"/>
        <v>0</v>
      </c>
      <c r="J232" s="102">
        <f t="shared" si="46"/>
        <v>0</v>
      </c>
      <c r="K232" s="102">
        <f t="shared" si="47"/>
        <v>0</v>
      </c>
      <c r="L232" s="3">
        <f t="shared" si="48"/>
        <v>0</v>
      </c>
      <c r="N232" s="230">
        <f>_xlfn.IFNA(VLOOKUP($C232,'Facteurs d''émission'!$D$2:$I$340,4,FALSE),"Non présent dans la base")</f>
        <v>0.2</v>
      </c>
      <c r="O232" s="223"/>
      <c r="P232" s="3">
        <f t="shared" si="49"/>
        <v>0</v>
      </c>
      <c r="Q232" s="3">
        <f t="shared" si="50"/>
        <v>0</v>
      </c>
      <c r="R232" s="3">
        <f t="shared" si="51"/>
        <v>0</v>
      </c>
      <c r="S232" s="3">
        <f t="shared" si="52"/>
        <v>0</v>
      </c>
      <c r="T232" s="7" t="str">
        <f t="shared" si="44"/>
        <v/>
      </c>
      <c r="U232" s="236"/>
      <c r="V232" s="3">
        <f t="shared" si="53"/>
        <v>0</v>
      </c>
      <c r="W232" s="3">
        <f t="shared" si="54"/>
        <v>0</v>
      </c>
      <c r="X232" s="3">
        <f t="shared" si="55"/>
        <v>0</v>
      </c>
      <c r="Y232" s="3">
        <f t="shared" si="56"/>
        <v>0</v>
      </c>
      <c r="AA232" s="614"/>
      <c r="AB232" s="615"/>
      <c r="AC232" s="615"/>
      <c r="AD232" s="615"/>
      <c r="AE232" s="616"/>
    </row>
    <row r="233" spans="3:31" s="7" customFormat="1" ht="12.75" customHeight="1">
      <c r="C233" s="157" t="s">
        <v>402</v>
      </c>
      <c r="D233" s="512"/>
      <c r="E233" s="233"/>
      <c r="F233" s="233"/>
      <c r="G233" s="305">
        <f>_xlfn.IFNA(VLOOKUP($C233,'Facteurs d''émission'!$D$2:$I$340,2,FALSE),"Non renseigné")</f>
        <v>5.0000000000000001E-3</v>
      </c>
      <c r="H233"/>
      <c r="I233" s="102">
        <f t="shared" si="45"/>
        <v>0</v>
      </c>
      <c r="J233" s="102">
        <f t="shared" si="46"/>
        <v>0</v>
      </c>
      <c r="K233" s="102">
        <f t="shared" si="47"/>
        <v>0</v>
      </c>
      <c r="L233" s="3">
        <f t="shared" si="48"/>
        <v>0</v>
      </c>
      <c r="N233" s="230">
        <f>_xlfn.IFNA(VLOOKUP($C233,'Facteurs d''émission'!$D$2:$I$340,4,FALSE),"Non présent dans la base")</f>
        <v>0.6</v>
      </c>
      <c r="O233" s="223"/>
      <c r="P233" s="3">
        <f t="shared" si="49"/>
        <v>0</v>
      </c>
      <c r="Q233" s="3">
        <f t="shared" si="50"/>
        <v>0</v>
      </c>
      <c r="R233" s="3">
        <f t="shared" si="51"/>
        <v>0</v>
      </c>
      <c r="S233" s="3">
        <f t="shared" si="52"/>
        <v>0</v>
      </c>
      <c r="T233" s="7" t="str">
        <f t="shared" si="44"/>
        <v/>
      </c>
      <c r="U233" s="236"/>
      <c r="V233" s="3">
        <f t="shared" si="53"/>
        <v>0</v>
      </c>
      <c r="W233" s="3">
        <f t="shared" si="54"/>
        <v>0</v>
      </c>
      <c r="X233" s="3">
        <f t="shared" si="55"/>
        <v>0</v>
      </c>
      <c r="Y233" s="3">
        <f t="shared" si="56"/>
        <v>0</v>
      </c>
      <c r="AA233" s="614"/>
      <c r="AB233" s="615"/>
      <c r="AC233" s="615"/>
      <c r="AD233" s="615"/>
      <c r="AE233" s="616"/>
    </row>
    <row r="234" spans="3:31" s="7" customFormat="1" ht="12.75" customHeight="1">
      <c r="C234" s="157" t="s">
        <v>306</v>
      </c>
      <c r="D234" s="512"/>
      <c r="E234" s="233"/>
      <c r="F234" s="233"/>
      <c r="G234" s="305">
        <f>_xlfn.IFNA(VLOOKUP($C234,'Facteurs d''émission'!$D$2:$I$340,2,FALSE),"Non renseigné")</f>
        <v>0</v>
      </c>
      <c r="H234"/>
      <c r="I234" s="102">
        <f t="shared" si="45"/>
        <v>0</v>
      </c>
      <c r="J234" s="102">
        <f t="shared" si="46"/>
        <v>0</v>
      </c>
      <c r="K234" s="102">
        <f t="shared" si="47"/>
        <v>0</v>
      </c>
      <c r="L234" s="3">
        <f t="shared" si="48"/>
        <v>0</v>
      </c>
      <c r="N234" s="230">
        <f>_xlfn.IFNA(VLOOKUP($C234,'Facteurs d''émission'!$D$2:$I$340,4,FALSE),"Non présent dans la base")</f>
        <v>0</v>
      </c>
      <c r="O234" s="223"/>
      <c r="P234" s="3">
        <f t="shared" si="49"/>
        <v>0</v>
      </c>
      <c r="Q234" s="3">
        <f t="shared" si="50"/>
        <v>0</v>
      </c>
      <c r="R234" s="3">
        <f t="shared" si="51"/>
        <v>0</v>
      </c>
      <c r="S234" s="3">
        <f t="shared" si="52"/>
        <v>0</v>
      </c>
      <c r="T234" s="7" t="str">
        <f t="shared" si="44"/>
        <v/>
      </c>
      <c r="U234" s="236"/>
      <c r="V234" s="3">
        <f t="shared" si="53"/>
        <v>0</v>
      </c>
      <c r="W234" s="3">
        <f t="shared" si="54"/>
        <v>0</v>
      </c>
      <c r="X234" s="3">
        <f t="shared" si="55"/>
        <v>0</v>
      </c>
      <c r="Y234" s="3">
        <f t="shared" si="56"/>
        <v>0</v>
      </c>
      <c r="AA234" s="614"/>
      <c r="AB234" s="615"/>
      <c r="AC234" s="615"/>
      <c r="AD234" s="615"/>
      <c r="AE234" s="616"/>
    </row>
    <row r="235" spans="3:31" s="7" customFormat="1" ht="12.75" customHeight="1">
      <c r="C235" s="157" t="s">
        <v>306</v>
      </c>
      <c r="D235" s="512"/>
      <c r="E235" s="233"/>
      <c r="F235" s="233"/>
      <c r="G235" s="305">
        <f>_xlfn.IFNA(VLOOKUP($C235,'Facteurs d''émission'!$D$2:$I$340,2,FALSE),"Non renseigné")</f>
        <v>0</v>
      </c>
      <c r="H235"/>
      <c r="I235" s="102">
        <f t="shared" si="45"/>
        <v>0</v>
      </c>
      <c r="J235" s="102">
        <f t="shared" si="46"/>
        <v>0</v>
      </c>
      <c r="K235" s="102">
        <f t="shared" si="47"/>
        <v>0</v>
      </c>
      <c r="L235" s="3">
        <f t="shared" si="48"/>
        <v>0</v>
      </c>
      <c r="N235" s="230">
        <f>_xlfn.IFNA(VLOOKUP($C235,'Facteurs d''émission'!$D$2:$I$340,4,FALSE),"Non présent dans la base")</f>
        <v>0</v>
      </c>
      <c r="O235" s="223"/>
      <c r="P235" s="3">
        <f t="shared" si="49"/>
        <v>0</v>
      </c>
      <c r="Q235" s="3">
        <f t="shared" si="50"/>
        <v>0</v>
      </c>
      <c r="R235" s="3">
        <f t="shared" si="51"/>
        <v>0</v>
      </c>
      <c r="S235" s="3">
        <f t="shared" si="52"/>
        <v>0</v>
      </c>
      <c r="T235" s="7" t="str">
        <f t="shared" si="44"/>
        <v/>
      </c>
      <c r="U235" s="236"/>
      <c r="V235" s="3">
        <f t="shared" si="53"/>
        <v>0</v>
      </c>
      <c r="W235" s="3">
        <f t="shared" si="54"/>
        <v>0</v>
      </c>
      <c r="X235" s="3">
        <f t="shared" si="55"/>
        <v>0</v>
      </c>
      <c r="Y235" s="3">
        <f t="shared" si="56"/>
        <v>0</v>
      </c>
      <c r="AA235" s="614"/>
      <c r="AB235" s="615"/>
      <c r="AC235" s="615"/>
      <c r="AD235" s="615"/>
      <c r="AE235" s="616"/>
    </row>
    <row r="236" spans="3:31" s="7" customFormat="1" ht="12.75" customHeight="1">
      <c r="C236" s="157" t="s">
        <v>306</v>
      </c>
      <c r="D236" s="512"/>
      <c r="E236" s="233"/>
      <c r="F236" s="233"/>
      <c r="G236" s="305">
        <f>_xlfn.IFNA(VLOOKUP($C236,'Facteurs d''émission'!$D$2:$I$340,2,FALSE),"Non renseigné")</f>
        <v>0</v>
      </c>
      <c r="H236"/>
      <c r="I236" s="102">
        <f t="shared" si="45"/>
        <v>0</v>
      </c>
      <c r="J236" s="102">
        <f t="shared" si="46"/>
        <v>0</v>
      </c>
      <c r="K236" s="102">
        <f t="shared" si="47"/>
        <v>0</v>
      </c>
      <c r="L236" s="3">
        <f t="shared" si="48"/>
        <v>0</v>
      </c>
      <c r="N236" s="230">
        <f>_xlfn.IFNA(VLOOKUP($C236,'Facteurs d''émission'!$D$2:$I$340,4,FALSE),"Non présent dans la base")</f>
        <v>0</v>
      </c>
      <c r="O236" s="223"/>
      <c r="P236" s="3">
        <f t="shared" si="49"/>
        <v>0</v>
      </c>
      <c r="Q236" s="3">
        <f t="shared" si="50"/>
        <v>0</v>
      </c>
      <c r="R236" s="3">
        <f t="shared" si="51"/>
        <v>0</v>
      </c>
      <c r="S236" s="3">
        <f t="shared" si="52"/>
        <v>0</v>
      </c>
      <c r="T236" s="7" t="str">
        <f t="shared" si="44"/>
        <v/>
      </c>
      <c r="U236" s="236"/>
      <c r="V236" s="3">
        <f t="shared" si="53"/>
        <v>0</v>
      </c>
      <c r="W236" s="3">
        <f t="shared" si="54"/>
        <v>0</v>
      </c>
      <c r="X236" s="3">
        <f t="shared" si="55"/>
        <v>0</v>
      </c>
      <c r="Y236" s="3">
        <f t="shared" si="56"/>
        <v>0</v>
      </c>
      <c r="AA236" s="614"/>
      <c r="AB236" s="615"/>
      <c r="AC236" s="615"/>
      <c r="AD236" s="615"/>
      <c r="AE236" s="616"/>
    </row>
    <row r="237" spans="3:31" s="7" customFormat="1" ht="12.75" customHeight="1">
      <c r="C237" s="157" t="s">
        <v>306</v>
      </c>
      <c r="D237" s="512"/>
      <c r="E237" s="233"/>
      <c r="F237" s="233"/>
      <c r="G237" s="305">
        <f>_xlfn.IFNA(VLOOKUP($C237,'Facteurs d''émission'!$D$2:$I$340,2,FALSE),"Non renseigné")</f>
        <v>0</v>
      </c>
      <c r="H237"/>
      <c r="I237" s="102">
        <f t="shared" si="41"/>
        <v>0</v>
      </c>
      <c r="J237" s="102">
        <f t="shared" si="41"/>
        <v>0</v>
      </c>
      <c r="K237" s="102">
        <f t="shared" si="41"/>
        <v>0</v>
      </c>
      <c r="L237" s="3">
        <f>SUM(I237:K237)</f>
        <v>0</v>
      </c>
      <c r="N237" s="230">
        <f>_xlfn.IFNA(VLOOKUP($C237,'Facteurs d''émission'!$D$2:$I$340,4,FALSE),"Non présent dans la base")</f>
        <v>0</v>
      </c>
      <c r="O237" s="223"/>
      <c r="P237" s="83">
        <f t="shared" si="42"/>
        <v>0</v>
      </c>
      <c r="Q237" s="3">
        <f t="shared" si="42"/>
        <v>0</v>
      </c>
      <c r="R237" s="3">
        <f t="shared" si="42"/>
        <v>0</v>
      </c>
      <c r="S237" s="3">
        <f>SUM(P237:R237)</f>
        <v>0</v>
      </c>
      <c r="T237" s="7" t="str">
        <f t="shared" si="44"/>
        <v/>
      </c>
      <c r="U237" s="236"/>
      <c r="V237" s="83">
        <f t="shared" si="43"/>
        <v>0</v>
      </c>
      <c r="W237" s="3">
        <f t="shared" si="43"/>
        <v>0</v>
      </c>
      <c r="X237" s="3">
        <f t="shared" si="43"/>
        <v>0</v>
      </c>
      <c r="Y237" s="3">
        <f>SUM(V237:X237)</f>
        <v>0</v>
      </c>
      <c r="AA237" s="614"/>
      <c r="AB237" s="615"/>
      <c r="AC237" s="615"/>
      <c r="AD237" s="615"/>
      <c r="AE237" s="616"/>
    </row>
    <row r="238" spans="3:31" s="12" customFormat="1" ht="12.75" customHeight="1">
      <c r="C238" s="286" t="s">
        <v>11</v>
      </c>
      <c r="D238" s="511">
        <f>SUM(D228:D237)</f>
        <v>81000</v>
      </c>
      <c r="E238" s="103">
        <f t="shared" ref="E238:F238" si="57">SUM(E228:E237)</f>
        <v>0</v>
      </c>
      <c r="F238" s="511">
        <f t="shared" si="57"/>
        <v>0</v>
      </c>
      <c r="G238" s="103"/>
      <c r="H238"/>
      <c r="I238" s="103">
        <f>SUM(I228:I237)</f>
        <v>16200</v>
      </c>
      <c r="J238" s="103">
        <f>SUM(J228:J237)</f>
        <v>0</v>
      </c>
      <c r="K238" s="103">
        <f>SUM(K228:K237)</f>
        <v>0</v>
      </c>
      <c r="L238" s="103">
        <f>SUM(L228:L237)</f>
        <v>16200</v>
      </c>
      <c r="N238" s="570" t="str">
        <f>IF(COUNTA(D228:F237)&gt;COUNTIF(T228:T237,"ok"),"! Remplir une incertitude !","")</f>
        <v>! Remplir une incertitude !</v>
      </c>
      <c r="O238" s="571"/>
      <c r="P238" s="54">
        <f>SUM(P228:P237)</f>
        <v>9720</v>
      </c>
      <c r="Q238" s="54">
        <f>SUM(Q228:Q237)</f>
        <v>0</v>
      </c>
      <c r="R238" s="51">
        <f>SUM(R228:R237)</f>
        <v>0</v>
      </c>
      <c r="S238" s="51">
        <f>SUM(S228:S237)</f>
        <v>9720</v>
      </c>
      <c r="U238" s="52"/>
      <c r="V238" s="54">
        <f>SUM(V228:V237)</f>
        <v>0</v>
      </c>
      <c r="W238" s="54">
        <f>SUM(W228:W237)</f>
        <v>0</v>
      </c>
      <c r="X238" s="51">
        <f>SUM(X228:X237)</f>
        <v>0</v>
      </c>
      <c r="Y238" s="51">
        <f>SUM(Y228:Y237)</f>
        <v>0</v>
      </c>
      <c r="AA238" s="620" t="str">
        <f>IF(Y238&gt;0,IF(AA227="","Attention: vous devez planifier une action afin de remplir votre objectif",""),"")</f>
        <v/>
      </c>
      <c r="AB238" s="620"/>
      <c r="AC238" s="620"/>
      <c r="AD238" s="620"/>
      <c r="AE238" s="620"/>
    </row>
    <row r="239" spans="3:31" s="7" customFormat="1" ht="51.9" customHeight="1">
      <c r="C239" s="97"/>
      <c r="D239" s="104"/>
      <c r="E239" s="104"/>
      <c r="F239" s="104"/>
      <c r="G239" s="140"/>
      <c r="H239" s="97"/>
      <c r="I239" s="105"/>
      <c r="J239" s="105"/>
      <c r="K239" s="105"/>
      <c r="L239" s="105"/>
      <c r="N239" s="11"/>
      <c r="P239" s="11"/>
      <c r="Q239" s="11"/>
      <c r="R239" s="11"/>
      <c r="S239" s="11"/>
      <c r="W239" s="11"/>
      <c r="X239" s="11"/>
      <c r="Y239" s="11"/>
      <c r="Z239" s="63"/>
    </row>
    <row r="240" spans="3:31" s="7" customFormat="1" ht="12.75" customHeight="1">
      <c r="C240" s="98"/>
      <c r="D240" s="106"/>
      <c r="E240" s="12" t="s">
        <v>310</v>
      </c>
      <c r="F240" s="106"/>
      <c r="G240" s="139"/>
      <c r="H240" s="106"/>
      <c r="I240" s="106"/>
      <c r="J240" s="106"/>
      <c r="K240" s="139"/>
      <c r="L240" s="106"/>
      <c r="M240" s="106"/>
      <c r="N240" s="139"/>
    </row>
    <row r="241" spans="3:31" s="7" customFormat="1" ht="12.75" customHeight="1">
      <c r="C241" s="98"/>
      <c r="D241" s="106"/>
      <c r="E241" s="106"/>
      <c r="F241" s="106"/>
      <c r="G241" s="139"/>
      <c r="H241" s="106"/>
      <c r="I241" s="106"/>
      <c r="J241" s="106"/>
      <c r="K241" s="139"/>
      <c r="L241" s="106"/>
      <c r="M241" s="106"/>
      <c r="N241" s="139"/>
    </row>
    <row r="242" spans="3:31" s="7" customFormat="1" ht="12.75" customHeight="1">
      <c r="C242" s="275" t="s">
        <v>168</v>
      </c>
      <c r="D242" s="107"/>
      <c r="E242" s="104"/>
      <c r="F242" s="104"/>
      <c r="G242" s="105"/>
      <c r="H242" s="107"/>
      <c r="I242" s="63" t="s">
        <v>307</v>
      </c>
      <c r="K242" s="11"/>
      <c r="M242" s="106"/>
      <c r="N242" s="147" t="s">
        <v>61</v>
      </c>
      <c r="O242" s="42"/>
      <c r="P242" s="42"/>
      <c r="Q242" s="42"/>
      <c r="R242" s="42"/>
      <c r="S242" s="42"/>
      <c r="T242" s="13"/>
      <c r="U242" s="42" t="s">
        <v>332</v>
      </c>
      <c r="V242" s="42"/>
      <c r="W242" s="42"/>
      <c r="X242" s="42"/>
      <c r="Y242" s="42"/>
      <c r="AA242" s="12" t="s">
        <v>109</v>
      </c>
    </row>
    <row r="243" spans="3:31" s="7" customFormat="1" ht="12.75" customHeight="1">
      <c r="C243" s="651" t="s">
        <v>97</v>
      </c>
      <c r="D243" s="641" t="s">
        <v>34</v>
      </c>
      <c r="E243" s="641"/>
      <c r="F243" s="641"/>
      <c r="G243" s="647" t="s">
        <v>305</v>
      </c>
      <c r="H243"/>
      <c r="I243" s="627" t="s">
        <v>232</v>
      </c>
      <c r="J243" s="627"/>
      <c r="K243" s="627"/>
      <c r="L243" s="627"/>
      <c r="M243" s="106"/>
      <c r="N243" s="649" t="s">
        <v>286</v>
      </c>
      <c r="O243" s="560" t="s">
        <v>287</v>
      </c>
      <c r="P243" s="585" t="s">
        <v>232</v>
      </c>
      <c r="Q243" s="586"/>
      <c r="R243" s="586"/>
      <c r="S243" s="587"/>
      <c r="T243" s="9"/>
      <c r="U243" s="560" t="s">
        <v>288</v>
      </c>
      <c r="V243" s="578" t="s">
        <v>238</v>
      </c>
      <c r="W243" s="578"/>
      <c r="X243" s="578"/>
      <c r="Y243" s="578"/>
      <c r="AA243" s="554" t="s">
        <v>165</v>
      </c>
      <c r="AB243" s="554"/>
      <c r="AC243" s="554"/>
      <c r="AD243" s="554"/>
      <c r="AE243" s="554"/>
    </row>
    <row r="244" spans="3:31" s="7" customFormat="1" ht="12.75" customHeight="1">
      <c r="C244" s="652"/>
      <c r="D244" s="304" t="s">
        <v>32</v>
      </c>
      <c r="E244" s="279" t="s">
        <v>33</v>
      </c>
      <c r="F244" s="304" t="s">
        <v>27</v>
      </c>
      <c r="G244" s="648"/>
      <c r="H244"/>
      <c r="I244" s="279" t="s">
        <v>35</v>
      </c>
      <c r="J244" s="279" t="s">
        <v>36</v>
      </c>
      <c r="K244" s="278" t="s">
        <v>27</v>
      </c>
      <c r="L244" s="280" t="s">
        <v>25</v>
      </c>
      <c r="M244" s="106"/>
      <c r="N244" s="650"/>
      <c r="O244" s="562"/>
      <c r="P244" s="279" t="s">
        <v>35</v>
      </c>
      <c r="Q244" s="279" t="s">
        <v>36</v>
      </c>
      <c r="R244" s="279" t="s">
        <v>27</v>
      </c>
      <c r="S244" s="280" t="s">
        <v>25</v>
      </c>
      <c r="T244" s="82"/>
      <c r="U244" s="562"/>
      <c r="V244" s="279" t="s">
        <v>35</v>
      </c>
      <c r="W244" s="279" t="s">
        <v>36</v>
      </c>
      <c r="X244" s="279" t="s">
        <v>27</v>
      </c>
      <c r="Y244" s="280" t="s">
        <v>25</v>
      </c>
      <c r="AA244" s="598" t="s">
        <v>275</v>
      </c>
      <c r="AB244" s="612"/>
      <c r="AC244" s="612"/>
      <c r="AD244" s="612"/>
      <c r="AE244" s="613"/>
    </row>
    <row r="245" spans="3:31" s="7" customFormat="1" ht="12.75" customHeight="1">
      <c r="C245" s="157" t="s">
        <v>404</v>
      </c>
      <c r="D245" s="234"/>
      <c r="E245" s="233"/>
      <c r="F245" s="233"/>
      <c r="G245" s="266">
        <f>_xlfn.IFNA(VLOOKUP($C245,'Facteurs d''émission'!$D$2:$I$340,2,FALSE),"Non renseigné")</f>
        <v>8.3000000000000004E-2</v>
      </c>
      <c r="H245"/>
      <c r="I245" s="102">
        <f>IFERROR(D245*$G245,0)</f>
        <v>0</v>
      </c>
      <c r="J245" s="102">
        <f>IFERROR(E245*$G245,0)</f>
        <v>0</v>
      </c>
      <c r="K245" s="102">
        <f>IFERROR(F245*$G245,0)</f>
        <v>0</v>
      </c>
      <c r="L245" s="3">
        <f>SUM(I245:K245)</f>
        <v>0</v>
      </c>
      <c r="M245" s="106"/>
      <c r="N245" s="230">
        <f>_xlfn.IFNA(VLOOKUP($C245,'Facteurs d''émission'!$D$2:$I$340,4,FALSE),"Non présent dans la base")</f>
        <v>0.6</v>
      </c>
      <c r="O245" s="224"/>
      <c r="P245" s="3">
        <f t="shared" ref="P245:R249" si="58">I245*(1-(1-$N245)*(1-$O245))</f>
        <v>0</v>
      </c>
      <c r="Q245" s="3">
        <f t="shared" si="58"/>
        <v>0</v>
      </c>
      <c r="R245" s="3">
        <f t="shared" si="58"/>
        <v>0</v>
      </c>
      <c r="S245" s="3">
        <f>SUM(P245:R245)</f>
        <v>0</v>
      </c>
      <c r="T245" s="7" t="str">
        <f>IF(COUNTA(D245:F245)*COUNTA(O245)&gt;0,COUNTA(D245:F245),"")</f>
        <v/>
      </c>
      <c r="U245" s="225"/>
      <c r="V245" s="3">
        <f t="shared" ref="V245:X249" si="59">$U245*I245</f>
        <v>0</v>
      </c>
      <c r="W245" s="3">
        <f t="shared" si="59"/>
        <v>0</v>
      </c>
      <c r="X245" s="3">
        <f t="shared" si="59"/>
        <v>0</v>
      </c>
      <c r="Y245" s="3">
        <f>SUM(V245:X245)</f>
        <v>0</v>
      </c>
      <c r="AA245" s="614"/>
      <c r="AB245" s="615"/>
      <c r="AC245" s="615"/>
      <c r="AD245" s="615"/>
      <c r="AE245" s="616"/>
    </row>
    <row r="246" spans="3:31" s="7" customFormat="1" ht="12.75" customHeight="1">
      <c r="C246" s="157" t="s">
        <v>403</v>
      </c>
      <c r="D246" s="234"/>
      <c r="E246" s="233"/>
      <c r="F246" s="233"/>
      <c r="G246" s="266">
        <f>_xlfn.IFNA(VLOOKUP($C246,'Facteurs d''émission'!$D$2:$I$340,2,FALSE),"Non renseigné")</f>
        <v>0.22</v>
      </c>
      <c r="H246"/>
      <c r="I246" s="102">
        <f t="shared" ref="I246:I249" si="60">IFERROR(D246*$G246,0)</f>
        <v>0</v>
      </c>
      <c r="J246" s="102">
        <f t="shared" ref="J246:J249" si="61">IFERROR(E246*$G246,0)</f>
        <v>0</v>
      </c>
      <c r="K246" s="102">
        <f t="shared" ref="K246:K249" si="62">IFERROR(F246*$G246,0)</f>
        <v>0</v>
      </c>
      <c r="L246" s="3">
        <f>SUM(I246:K246)</f>
        <v>0</v>
      </c>
      <c r="M246" s="106"/>
      <c r="N246" s="230">
        <f>_xlfn.IFNA(VLOOKUP($C246,'Facteurs d''émission'!$D$2:$I$340,4,FALSE),"Non présent dans la base")</f>
        <v>0.6</v>
      </c>
      <c r="O246" s="224"/>
      <c r="P246" s="3">
        <f t="shared" si="58"/>
        <v>0</v>
      </c>
      <c r="Q246" s="3">
        <f t="shared" si="58"/>
        <v>0</v>
      </c>
      <c r="R246" s="3">
        <f t="shared" si="58"/>
        <v>0</v>
      </c>
      <c r="S246" s="3">
        <f>SUM(P246:R246)</f>
        <v>0</v>
      </c>
      <c r="T246" s="7" t="str">
        <f>IF(COUNTA(D246:F246)*COUNTA(O246)&gt;0,COUNTA(D246:F246),"")</f>
        <v/>
      </c>
      <c r="U246" s="225"/>
      <c r="V246" s="3">
        <f t="shared" si="59"/>
        <v>0</v>
      </c>
      <c r="W246" s="3">
        <f t="shared" si="59"/>
        <v>0</v>
      </c>
      <c r="X246" s="3">
        <f t="shared" si="59"/>
        <v>0</v>
      </c>
      <c r="Y246" s="3">
        <f>SUM(V246:X246)</f>
        <v>0</v>
      </c>
      <c r="AA246" s="614"/>
      <c r="AB246" s="615"/>
      <c r="AC246" s="615"/>
      <c r="AD246" s="615"/>
      <c r="AE246" s="616"/>
    </row>
    <row r="247" spans="3:31" s="7" customFormat="1" ht="12.75" customHeight="1">
      <c r="C247" s="157" t="s">
        <v>306</v>
      </c>
      <c r="D247" s="234"/>
      <c r="E247" s="233"/>
      <c r="F247" s="233"/>
      <c r="G247" s="266">
        <f>_xlfn.IFNA(VLOOKUP($C247,'Facteurs d''émission'!$D$2:$I$340,2,FALSE),"Non renseigné")</f>
        <v>0</v>
      </c>
      <c r="H247"/>
      <c r="I247" s="102">
        <f t="shared" ref="I247:I248" si="63">IFERROR(D247*$G247,0)</f>
        <v>0</v>
      </c>
      <c r="J247" s="102">
        <f t="shared" ref="J247:J248" si="64">IFERROR(E247*$G247,0)</f>
        <v>0</v>
      </c>
      <c r="K247" s="102">
        <f t="shared" ref="K247:K248" si="65">IFERROR(F247*$G247,0)</f>
        <v>0</v>
      </c>
      <c r="L247" s="3">
        <f t="shared" ref="L247:L248" si="66">SUM(I247:K247)</f>
        <v>0</v>
      </c>
      <c r="M247" s="106"/>
      <c r="N247" s="230">
        <f>_xlfn.IFNA(VLOOKUP($C247,'Facteurs d''émission'!$D$2:$I$340,4,FALSE),"Non présent dans la base")</f>
        <v>0</v>
      </c>
      <c r="O247" s="224"/>
      <c r="P247" s="3">
        <f t="shared" ref="P247:P248" si="67">I247*(1-(1-$N247)*(1-$O247))</f>
        <v>0</v>
      </c>
      <c r="Q247" s="3">
        <f t="shared" ref="Q247:Q248" si="68">J247*(1-(1-$N247)*(1-$O247))</f>
        <v>0</v>
      </c>
      <c r="R247" s="3">
        <f t="shared" ref="R247:R248" si="69">K247*(1-(1-$N247)*(1-$O247))</f>
        <v>0</v>
      </c>
      <c r="S247" s="3">
        <f t="shared" ref="S247:S248" si="70">SUM(P247:R247)</f>
        <v>0</v>
      </c>
      <c r="U247" s="225"/>
      <c r="V247" s="3">
        <f t="shared" ref="V247:V248" si="71">$U247*I247</f>
        <v>0</v>
      </c>
      <c r="W247" s="3">
        <f t="shared" ref="W247:W248" si="72">$U247*J247</f>
        <v>0</v>
      </c>
      <c r="X247" s="3">
        <f t="shared" ref="X247:X248" si="73">$U247*K247</f>
        <v>0</v>
      </c>
      <c r="Y247" s="3">
        <f t="shared" ref="Y247:Y248" si="74">SUM(V247:X247)</f>
        <v>0</v>
      </c>
      <c r="AA247" s="614"/>
      <c r="AB247" s="615"/>
      <c r="AC247" s="615"/>
      <c r="AD247" s="615"/>
      <c r="AE247" s="616"/>
    </row>
    <row r="248" spans="3:31" s="7" customFormat="1" ht="12.75" customHeight="1">
      <c r="C248" s="157" t="s">
        <v>306</v>
      </c>
      <c r="D248" s="234"/>
      <c r="E248" s="233"/>
      <c r="F248" s="233"/>
      <c r="G248" s="266">
        <f>_xlfn.IFNA(VLOOKUP($C248,'Facteurs d''émission'!$D$2:$I$340,2,FALSE),"Non renseigné")</f>
        <v>0</v>
      </c>
      <c r="H248"/>
      <c r="I248" s="102">
        <f t="shared" si="63"/>
        <v>0</v>
      </c>
      <c r="J248" s="102">
        <f t="shared" si="64"/>
        <v>0</v>
      </c>
      <c r="K248" s="102">
        <f t="shared" si="65"/>
        <v>0</v>
      </c>
      <c r="L248" s="3">
        <f t="shared" si="66"/>
        <v>0</v>
      </c>
      <c r="M248" s="106"/>
      <c r="N248" s="230">
        <f>_xlfn.IFNA(VLOOKUP($C248,'Facteurs d''émission'!$D$2:$I$340,4,FALSE),"Non présent dans la base")</f>
        <v>0</v>
      </c>
      <c r="O248" s="224"/>
      <c r="P248" s="3">
        <f t="shared" si="67"/>
        <v>0</v>
      </c>
      <c r="Q248" s="3">
        <f t="shared" si="68"/>
        <v>0</v>
      </c>
      <c r="R248" s="3">
        <f t="shared" si="69"/>
        <v>0</v>
      </c>
      <c r="S248" s="3">
        <f t="shared" si="70"/>
        <v>0</v>
      </c>
      <c r="U248" s="225"/>
      <c r="V248" s="3">
        <f t="shared" si="71"/>
        <v>0</v>
      </c>
      <c r="W248" s="3">
        <f t="shared" si="72"/>
        <v>0</v>
      </c>
      <c r="X248" s="3">
        <f t="shared" si="73"/>
        <v>0</v>
      </c>
      <c r="Y248" s="3">
        <f t="shared" si="74"/>
        <v>0</v>
      </c>
      <c r="AA248" s="614"/>
      <c r="AB248" s="615"/>
      <c r="AC248" s="615"/>
      <c r="AD248" s="615"/>
      <c r="AE248" s="616"/>
    </row>
    <row r="249" spans="3:31" s="7" customFormat="1" ht="12.75" customHeight="1">
      <c r="C249" s="157" t="s">
        <v>306</v>
      </c>
      <c r="D249" s="234"/>
      <c r="E249" s="233"/>
      <c r="F249" s="233"/>
      <c r="G249" s="266">
        <f>_xlfn.IFNA(VLOOKUP($C249,'Facteurs d''émission'!$D$2:$I$340,2,FALSE),"Non renseigné")</f>
        <v>0</v>
      </c>
      <c r="H249"/>
      <c r="I249" s="102">
        <f t="shared" si="60"/>
        <v>0</v>
      </c>
      <c r="J249" s="102">
        <f t="shared" si="61"/>
        <v>0</v>
      </c>
      <c r="K249" s="102">
        <f t="shared" si="62"/>
        <v>0</v>
      </c>
      <c r="L249" s="3">
        <f>SUM(I249:K249)</f>
        <v>0</v>
      </c>
      <c r="M249" s="106"/>
      <c r="N249" s="230">
        <f>_xlfn.IFNA(VLOOKUP($C249,'Facteurs d''émission'!$D$2:$I$340,4,FALSE),"Non présent dans la base")</f>
        <v>0</v>
      </c>
      <c r="O249" s="223"/>
      <c r="P249" s="83">
        <f t="shared" si="58"/>
        <v>0</v>
      </c>
      <c r="Q249" s="3">
        <f t="shared" si="58"/>
        <v>0</v>
      </c>
      <c r="R249" s="3">
        <f t="shared" si="58"/>
        <v>0</v>
      </c>
      <c r="S249" s="3">
        <f>SUM(P249:R249)</f>
        <v>0</v>
      </c>
      <c r="T249" s="7" t="str">
        <f>IF(COUNTA(D249:F249)*COUNTA(O249)&gt;0,COUNTA(D249:F249),"")</f>
        <v/>
      </c>
      <c r="U249" s="226"/>
      <c r="V249" s="83">
        <f t="shared" si="59"/>
        <v>0</v>
      </c>
      <c r="W249" s="3">
        <f t="shared" si="59"/>
        <v>0</v>
      </c>
      <c r="X249" s="3">
        <f t="shared" si="59"/>
        <v>0</v>
      </c>
      <c r="Y249" s="3">
        <f>SUM(V249:X249)</f>
        <v>0</v>
      </c>
      <c r="AA249" s="614"/>
      <c r="AB249" s="615"/>
      <c r="AC249" s="615"/>
      <c r="AD249" s="615"/>
      <c r="AE249" s="616"/>
    </row>
    <row r="250" spans="3:31" s="12" customFormat="1" ht="12.75" customHeight="1">
      <c r="C250" s="300" t="s">
        <v>11</v>
      </c>
      <c r="D250" s="298"/>
      <c r="E250" s="298"/>
      <c r="F250" s="298"/>
      <c r="G250" s="103"/>
      <c r="H250"/>
      <c r="I250" s="103">
        <f>SUM(I245:I249)</f>
        <v>0</v>
      </c>
      <c r="J250" s="103">
        <f>SUM(J245:J249)</f>
        <v>0</v>
      </c>
      <c r="K250" s="103">
        <f>SUM(K245:K249)</f>
        <v>0</v>
      </c>
      <c r="L250" s="103">
        <f>SUM(L245:L249)</f>
        <v>0</v>
      </c>
      <c r="M250" s="109"/>
      <c r="N250" s="570" t="str">
        <f>IF(COUNTA(D245:F249)&gt;SUM(T245:T249),"! Remplir une incertitude !","")</f>
        <v/>
      </c>
      <c r="O250" s="571"/>
      <c r="P250" s="54">
        <f>SUM(P245:P249)</f>
        <v>0</v>
      </c>
      <c r="Q250" s="54">
        <f>SUM(Q245:Q249)</f>
        <v>0</v>
      </c>
      <c r="R250" s="51">
        <f>SUM(R245:R249)</f>
        <v>0</v>
      </c>
      <c r="S250" s="51">
        <f>SUM(S245:S249)</f>
        <v>0</v>
      </c>
      <c r="U250" s="52"/>
      <c r="V250" s="54">
        <f>SUM(V245:V249)</f>
        <v>0</v>
      </c>
      <c r="W250" s="54">
        <f>SUM(W245:W249)</f>
        <v>0</v>
      </c>
      <c r="X250" s="51">
        <f>SUM(X245:X249)</f>
        <v>0</v>
      </c>
      <c r="Y250" s="51">
        <f>SUM(Y245:Y249)</f>
        <v>0</v>
      </c>
      <c r="AA250" s="620" t="str">
        <f>IF(Y250&gt;0,IF(AA244="","Attention: vous devez planifier une action afin de remplir votre objectif",""),"")</f>
        <v/>
      </c>
      <c r="AB250" s="620"/>
      <c r="AC250" s="620"/>
      <c r="AD250" s="620"/>
      <c r="AE250" s="620"/>
    </row>
    <row r="251" spans="3:31" s="7" customFormat="1" ht="12.75" customHeight="1">
      <c r="C251" s="109"/>
      <c r="D251" s="104"/>
      <c r="E251" s="104"/>
      <c r="F251" s="104"/>
      <c r="G251" s="140"/>
      <c r="H251"/>
      <c r="I251" s="105"/>
      <c r="J251" s="105"/>
      <c r="K251" s="105"/>
      <c r="L251" s="105"/>
      <c r="M251" s="106"/>
      <c r="N251" s="11"/>
      <c r="S251" s="12"/>
      <c r="W251" s="11"/>
      <c r="X251" s="11"/>
      <c r="Y251" s="11"/>
      <c r="Z251" s="63"/>
    </row>
    <row r="252" spans="3:31" s="7" customFormat="1" ht="12.75" customHeight="1">
      <c r="C252" s="98"/>
      <c r="D252" s="98"/>
      <c r="E252" s="98"/>
      <c r="F252" s="106"/>
      <c r="G252" s="139"/>
      <c r="H252"/>
      <c r="K252" s="11"/>
      <c r="L252" s="98"/>
      <c r="N252" s="11"/>
    </row>
    <row r="253" spans="3:31" s="7" customFormat="1" ht="12.75" customHeight="1">
      <c r="C253" s="98"/>
      <c r="D253" s="98"/>
      <c r="E253" s="12" t="s">
        <v>311</v>
      </c>
      <c r="F253" s="106"/>
      <c r="G253" s="139"/>
      <c r="H253"/>
      <c r="K253" s="11"/>
      <c r="L253" s="98"/>
      <c r="N253" s="11"/>
    </row>
    <row r="254" spans="3:31" s="7" customFormat="1" ht="12.75" customHeight="1">
      <c r="C254" s="98"/>
      <c r="D254" s="98"/>
      <c r="E254" s="98"/>
      <c r="F254" s="106"/>
      <c r="G254" s="139"/>
      <c r="H254"/>
      <c r="K254" s="11"/>
      <c r="L254" s="98"/>
      <c r="N254" s="11"/>
    </row>
    <row r="255" spans="3:31" s="7" customFormat="1" ht="12.75" customHeight="1">
      <c r="C255" s="275" t="s">
        <v>142</v>
      </c>
      <c r="G255" s="11"/>
      <c r="H255"/>
      <c r="I255" s="63" t="s">
        <v>307</v>
      </c>
      <c r="K255" s="11"/>
      <c r="M255" s="98"/>
      <c r="N255" s="147" t="s">
        <v>61</v>
      </c>
      <c r="O255" s="42"/>
      <c r="P255" s="42"/>
      <c r="Q255" s="42"/>
      <c r="R255" s="42"/>
      <c r="S255" s="42"/>
      <c r="T255" s="13"/>
      <c r="U255" s="42" t="s">
        <v>332</v>
      </c>
      <c r="V255" s="42"/>
      <c r="W255" s="42"/>
      <c r="X255" s="42"/>
      <c r="Y255" s="42"/>
      <c r="AA255" s="12" t="s">
        <v>109</v>
      </c>
    </row>
    <row r="256" spans="3:31" s="7" customFormat="1" ht="12.75" customHeight="1">
      <c r="C256" s="304" t="s">
        <v>98</v>
      </c>
      <c r="D256" s="641" t="s">
        <v>167</v>
      </c>
      <c r="E256" s="641"/>
      <c r="F256" s="641"/>
      <c r="G256" s="653" t="s">
        <v>330</v>
      </c>
      <c r="H256"/>
      <c r="I256" s="627" t="s">
        <v>232</v>
      </c>
      <c r="J256" s="627"/>
      <c r="K256" s="627"/>
      <c r="L256" s="627"/>
      <c r="M256" s="98"/>
      <c r="N256" s="649" t="s">
        <v>286</v>
      </c>
      <c r="O256" s="563" t="s">
        <v>333</v>
      </c>
      <c r="P256" s="585" t="s">
        <v>232</v>
      </c>
      <c r="Q256" s="586"/>
      <c r="R256" s="586"/>
      <c r="S256" s="587"/>
      <c r="T256" s="9"/>
      <c r="U256" s="563" t="s">
        <v>288</v>
      </c>
      <c r="V256" s="578" t="s">
        <v>238</v>
      </c>
      <c r="W256" s="578"/>
      <c r="X256" s="578"/>
      <c r="Y256" s="578"/>
      <c r="AA256" s="554" t="s">
        <v>165</v>
      </c>
      <c r="AB256" s="554"/>
      <c r="AC256" s="554"/>
      <c r="AD256" s="554"/>
      <c r="AE256" s="554"/>
    </row>
    <row r="257" spans="3:31" s="7" customFormat="1" ht="12.75" customHeight="1">
      <c r="C257" s="228"/>
      <c r="D257" s="304" t="s">
        <v>32</v>
      </c>
      <c r="E257" s="279" t="s">
        <v>33</v>
      </c>
      <c r="F257" s="304" t="s">
        <v>27</v>
      </c>
      <c r="G257" s="654"/>
      <c r="H257"/>
      <c r="I257" s="279" t="s">
        <v>35</v>
      </c>
      <c r="J257" s="279" t="s">
        <v>36</v>
      </c>
      <c r="K257" s="278" t="s">
        <v>27</v>
      </c>
      <c r="L257" s="280" t="s">
        <v>25</v>
      </c>
      <c r="M257" s="98"/>
      <c r="N257" s="650"/>
      <c r="O257" s="565"/>
      <c r="P257" s="279" t="s">
        <v>35</v>
      </c>
      <c r="Q257" s="279" t="s">
        <v>36</v>
      </c>
      <c r="R257" s="279" t="s">
        <v>27</v>
      </c>
      <c r="S257" s="280" t="s">
        <v>25</v>
      </c>
      <c r="T257" s="82"/>
      <c r="U257" s="565"/>
      <c r="V257" s="279" t="s">
        <v>35</v>
      </c>
      <c r="W257" s="279" t="s">
        <v>36</v>
      </c>
      <c r="X257" s="279" t="s">
        <v>27</v>
      </c>
      <c r="Y257" s="280" t="s">
        <v>25</v>
      </c>
      <c r="AA257" s="598" t="s">
        <v>275</v>
      </c>
      <c r="AB257" s="612"/>
      <c r="AC257" s="612"/>
      <c r="AD257" s="612"/>
      <c r="AE257" s="613"/>
    </row>
    <row r="258" spans="3:31" s="7" customFormat="1" ht="12.75" customHeight="1">
      <c r="C258" s="110" t="s">
        <v>406</v>
      </c>
      <c r="D258" s="233"/>
      <c r="E258" s="233"/>
      <c r="F258" s="233"/>
      <c r="G258" s="306">
        <f>_xlfn.IFNA(VLOOKUP($C258,'Facteurs d''émission'!$D$2:$I$340,2,FALSE),"Non renseigné")</f>
        <v>7.4999999999999997E-3</v>
      </c>
      <c r="H258"/>
      <c r="I258" s="102">
        <f t="shared" ref="I258:I270" si="75">D258*$G258</f>
        <v>0</v>
      </c>
      <c r="J258" s="102">
        <f t="shared" ref="J258:J270" si="76">E258*$G258</f>
        <v>0</v>
      </c>
      <c r="K258" s="102">
        <f t="shared" ref="K258:K270" si="77">F258*$G258</f>
        <v>0</v>
      </c>
      <c r="L258" s="3">
        <f t="shared" ref="L258:L270" si="78">SUM(I258:K258)</f>
        <v>0</v>
      </c>
      <c r="M258" s="98"/>
      <c r="N258" s="307">
        <f>_xlfn.IFNA(VLOOKUP($C258,'Facteurs d''émission'!$D$2:$I$340,4,FALSE),"Non présent dans la base")</f>
        <v>0.2</v>
      </c>
      <c r="O258" s="224"/>
      <c r="P258" s="3">
        <f t="shared" ref="P258:P270" si="79">I258*(1-(1-$N258)*(1-$O258))</f>
        <v>0</v>
      </c>
      <c r="Q258" s="3">
        <f t="shared" ref="Q258:Q270" si="80">J258*(1-(1-$N258)*(1-$O258))</f>
        <v>0</v>
      </c>
      <c r="R258" s="3">
        <f t="shared" ref="R258:R270" si="81">K258*(1-(1-$N258)*(1-$O258))</f>
        <v>0</v>
      </c>
      <c r="S258" s="3">
        <f t="shared" ref="S258:S270" si="82">SUM(P258:R258)</f>
        <v>0</v>
      </c>
      <c r="T258" s="7" t="str">
        <f>IF(COUNTA(D258:F258)*COUNTA(O258)&gt;0,"ok","")</f>
        <v/>
      </c>
      <c r="U258" s="225"/>
      <c r="V258" s="3">
        <f t="shared" ref="V258:V270" si="83">$U258*I258</f>
        <v>0</v>
      </c>
      <c r="W258" s="3">
        <f t="shared" ref="W258:W270" si="84">$U258*J258</f>
        <v>0</v>
      </c>
      <c r="X258" s="3">
        <f t="shared" ref="X258:X270" si="85">$U258*K258</f>
        <v>0</v>
      </c>
      <c r="Y258" s="3">
        <f t="shared" ref="Y258:Y270" si="86">SUM(V258:X258)</f>
        <v>0</v>
      </c>
      <c r="AA258" s="614"/>
      <c r="AB258" s="615"/>
      <c r="AC258" s="615"/>
      <c r="AD258" s="615"/>
      <c r="AE258" s="616"/>
    </row>
    <row r="259" spans="3:31" s="7" customFormat="1" ht="12.75" customHeight="1">
      <c r="C259" s="110" t="s">
        <v>28</v>
      </c>
      <c r="D259" s="512">
        <f>(162000+657360)*1.25</f>
        <v>1024200</v>
      </c>
      <c r="E259" s="233"/>
      <c r="F259" s="233"/>
      <c r="G259" s="306">
        <f>_xlfn.IFNA(VLOOKUP($C259,'Facteurs d''émission'!$D$2:$I$340,2,FALSE),"Non renseigné")</f>
        <v>2.8999999999999998E-3</v>
      </c>
      <c r="H259"/>
      <c r="I259" s="102">
        <f t="shared" si="75"/>
        <v>2970.18</v>
      </c>
      <c r="J259" s="102">
        <f t="shared" si="76"/>
        <v>0</v>
      </c>
      <c r="K259" s="102">
        <f t="shared" si="77"/>
        <v>0</v>
      </c>
      <c r="L259" s="3">
        <f t="shared" si="78"/>
        <v>2970.18</v>
      </c>
      <c r="M259" s="98"/>
      <c r="N259" s="307">
        <f>_xlfn.IFNA(VLOOKUP($C259,'Facteurs d''émission'!$D$2:$I$340,4,FALSE),"Non présent dans la base")</f>
        <v>0.2</v>
      </c>
      <c r="O259" s="224"/>
      <c r="P259" s="3">
        <f t="shared" si="79"/>
        <v>594.03599999999983</v>
      </c>
      <c r="Q259" s="3">
        <f t="shared" si="80"/>
        <v>0</v>
      </c>
      <c r="R259" s="3">
        <f t="shared" si="81"/>
        <v>0</v>
      </c>
      <c r="S259" s="3">
        <f t="shared" si="82"/>
        <v>594.03599999999983</v>
      </c>
      <c r="T259" s="7" t="str">
        <f>IF(COUNTA(D259:F259)*COUNTA(O259)&gt;0,"ok","")</f>
        <v/>
      </c>
      <c r="U259" s="225"/>
      <c r="V259" s="3">
        <f t="shared" si="83"/>
        <v>0</v>
      </c>
      <c r="W259" s="3">
        <f t="shared" si="84"/>
        <v>0</v>
      </c>
      <c r="X259" s="3">
        <f t="shared" si="85"/>
        <v>0</v>
      </c>
      <c r="Y259" s="3">
        <f t="shared" si="86"/>
        <v>0</v>
      </c>
      <c r="AA259" s="614"/>
      <c r="AB259" s="615"/>
      <c r="AC259" s="615"/>
      <c r="AD259" s="615"/>
      <c r="AE259" s="616"/>
    </row>
    <row r="260" spans="3:31" s="7" customFormat="1" ht="12.75" customHeight="1">
      <c r="C260" s="110" t="s">
        <v>405</v>
      </c>
      <c r="D260" s="512">
        <f>(374400*1.25)</f>
        <v>468000</v>
      </c>
      <c r="E260" s="233"/>
      <c r="F260" s="233"/>
      <c r="G260" s="306">
        <f>_xlfn.IFNA(VLOOKUP($C260,'Facteurs d''émission'!$D$2:$I$340,2,FALSE),"Non renseigné")</f>
        <v>2.7699999999999999E-2</v>
      </c>
      <c r="H260"/>
      <c r="I260" s="102">
        <f t="shared" si="75"/>
        <v>12963.6</v>
      </c>
      <c r="J260" s="102">
        <f t="shared" si="76"/>
        <v>0</v>
      </c>
      <c r="K260" s="102">
        <f t="shared" si="77"/>
        <v>0</v>
      </c>
      <c r="L260" s="3">
        <f t="shared" si="78"/>
        <v>12963.6</v>
      </c>
      <c r="M260" s="98"/>
      <c r="N260" s="307">
        <f>_xlfn.IFNA(VLOOKUP($C260,'Facteurs d''émission'!$D$2:$I$340,4,FALSE),"Non présent dans la base")</f>
        <v>0.6</v>
      </c>
      <c r="O260" s="224"/>
      <c r="P260" s="3">
        <f t="shared" si="79"/>
        <v>7778.16</v>
      </c>
      <c r="Q260" s="3">
        <f t="shared" si="80"/>
        <v>0</v>
      </c>
      <c r="R260" s="3">
        <f t="shared" si="81"/>
        <v>0</v>
      </c>
      <c r="S260" s="3">
        <f t="shared" si="82"/>
        <v>7778.16</v>
      </c>
      <c r="T260" s="7" t="str">
        <f t="shared" ref="T260:T270" si="87">IF(COUNTA(D260:F260)*COUNTA(O260)&gt;0,"ok","")</f>
        <v/>
      </c>
      <c r="U260" s="225"/>
      <c r="V260" s="3">
        <f t="shared" si="83"/>
        <v>0</v>
      </c>
      <c r="W260" s="3">
        <f t="shared" si="84"/>
        <v>0</v>
      </c>
      <c r="X260" s="3">
        <f t="shared" si="85"/>
        <v>0</v>
      </c>
      <c r="Y260" s="3">
        <f t="shared" si="86"/>
        <v>0</v>
      </c>
      <c r="AA260" s="614"/>
      <c r="AB260" s="615"/>
      <c r="AC260" s="615"/>
      <c r="AD260" s="615"/>
      <c r="AE260" s="616"/>
    </row>
    <row r="261" spans="3:31" s="7" customFormat="1" ht="12.75" customHeight="1">
      <c r="C261" s="110" t="s">
        <v>45</v>
      </c>
      <c r="D261" s="233"/>
      <c r="E261" s="233"/>
      <c r="F261" s="233"/>
      <c r="G261" s="306">
        <f>_xlfn.IFNA(VLOOKUP($C261,'Facteurs d''émission'!$D$2:$I$340,2,FALSE),"Non renseigné")</f>
        <v>6.6799999999999998E-2</v>
      </c>
      <c r="H261"/>
      <c r="I261" s="102">
        <f t="shared" si="75"/>
        <v>0</v>
      </c>
      <c r="J261" s="102">
        <f t="shared" si="76"/>
        <v>0</v>
      </c>
      <c r="K261" s="102">
        <f t="shared" si="77"/>
        <v>0</v>
      </c>
      <c r="L261" s="3">
        <f t="shared" si="78"/>
        <v>0</v>
      </c>
      <c r="M261" s="98"/>
      <c r="N261" s="307">
        <f>_xlfn.IFNA(VLOOKUP($C261,'Facteurs d''émission'!$D$2:$I$340,4,FALSE),"Non présent dans la base")</f>
        <v>0.2</v>
      </c>
      <c r="O261" s="224"/>
      <c r="P261" s="3">
        <f t="shared" si="79"/>
        <v>0</v>
      </c>
      <c r="Q261" s="3">
        <f t="shared" si="80"/>
        <v>0</v>
      </c>
      <c r="R261" s="3">
        <f t="shared" si="81"/>
        <v>0</v>
      </c>
      <c r="S261" s="3">
        <f t="shared" si="82"/>
        <v>0</v>
      </c>
      <c r="T261" s="7" t="str">
        <f t="shared" si="87"/>
        <v/>
      </c>
      <c r="U261" s="225"/>
      <c r="V261" s="3">
        <f t="shared" si="83"/>
        <v>0</v>
      </c>
      <c r="W261" s="3">
        <f t="shared" si="84"/>
        <v>0</v>
      </c>
      <c r="X261" s="3">
        <f t="shared" si="85"/>
        <v>0</v>
      </c>
      <c r="Y261" s="3">
        <f t="shared" si="86"/>
        <v>0</v>
      </c>
      <c r="AA261" s="614"/>
      <c r="AB261" s="615"/>
      <c r="AC261" s="615"/>
      <c r="AD261" s="615"/>
      <c r="AE261" s="616"/>
    </row>
    <row r="262" spans="3:31" s="7" customFormat="1" ht="12.75" customHeight="1">
      <c r="C262" s="110" t="s">
        <v>46</v>
      </c>
      <c r="D262" s="233"/>
      <c r="E262" s="233"/>
      <c r="F262" s="233"/>
      <c r="G262" s="306">
        <f>_xlfn.IFNA(VLOOKUP($C262,'Facteurs d''émission'!$D$2:$I$340,2,FALSE),"Non renseigné")</f>
        <v>4.8399999999999999E-2</v>
      </c>
      <c r="H262"/>
      <c r="I262" s="102">
        <f t="shared" si="75"/>
        <v>0</v>
      </c>
      <c r="J262" s="102">
        <f t="shared" si="76"/>
        <v>0</v>
      </c>
      <c r="K262" s="102">
        <f t="shared" si="77"/>
        <v>0</v>
      </c>
      <c r="L262" s="3">
        <f t="shared" si="78"/>
        <v>0</v>
      </c>
      <c r="M262" s="98"/>
      <c r="N262" s="307">
        <f>_xlfn.IFNA(VLOOKUP($C262,'Facteurs d''émission'!$D$2:$I$340,4,FALSE),"Non présent dans la base")</f>
        <v>0.2</v>
      </c>
      <c r="O262" s="224"/>
      <c r="P262" s="3">
        <f t="shared" si="79"/>
        <v>0</v>
      </c>
      <c r="Q262" s="3">
        <f t="shared" si="80"/>
        <v>0</v>
      </c>
      <c r="R262" s="3">
        <f t="shared" si="81"/>
        <v>0</v>
      </c>
      <c r="S262" s="3">
        <f t="shared" si="82"/>
        <v>0</v>
      </c>
      <c r="T262" s="7" t="str">
        <f t="shared" si="87"/>
        <v/>
      </c>
      <c r="U262" s="225"/>
      <c r="V262" s="3">
        <f t="shared" si="83"/>
        <v>0</v>
      </c>
      <c r="W262" s="3">
        <f t="shared" si="84"/>
        <v>0</v>
      </c>
      <c r="X262" s="3">
        <f t="shared" si="85"/>
        <v>0</v>
      </c>
      <c r="Y262" s="3">
        <f t="shared" si="86"/>
        <v>0</v>
      </c>
      <c r="AA262" s="614"/>
      <c r="AB262" s="615"/>
      <c r="AC262" s="615"/>
      <c r="AD262" s="615"/>
      <c r="AE262" s="616"/>
    </row>
    <row r="263" spans="3:31" s="7" customFormat="1" ht="12.75" customHeight="1">
      <c r="C263" s="110" t="s">
        <v>16</v>
      </c>
      <c r="D263" s="233"/>
      <c r="E263" s="233"/>
      <c r="F263" s="233"/>
      <c r="G263" s="306">
        <f>_xlfn.IFNA(VLOOKUP($C263,'Facteurs d''émission'!$D$2:$I$340,2,FALSE),"Non renseigné")</f>
        <v>5.1400000000000001E-2</v>
      </c>
      <c r="H263"/>
      <c r="I263" s="102">
        <f t="shared" si="75"/>
        <v>0</v>
      </c>
      <c r="J263" s="102">
        <f t="shared" si="76"/>
        <v>0</v>
      </c>
      <c r="K263" s="102">
        <f t="shared" si="77"/>
        <v>0</v>
      </c>
      <c r="L263" s="3">
        <f t="shared" si="78"/>
        <v>0</v>
      </c>
      <c r="M263" s="98"/>
      <c r="N263" s="307">
        <f>_xlfn.IFNA(VLOOKUP($C263,'Facteurs d''émission'!$D$2:$I$340,4,FALSE),"Non présent dans la base")</f>
        <v>0.2</v>
      </c>
      <c r="O263" s="224"/>
      <c r="P263" s="3">
        <f t="shared" si="79"/>
        <v>0</v>
      </c>
      <c r="Q263" s="3">
        <f t="shared" si="80"/>
        <v>0</v>
      </c>
      <c r="R263" s="3">
        <f t="shared" si="81"/>
        <v>0</v>
      </c>
      <c r="S263" s="3">
        <f t="shared" si="82"/>
        <v>0</v>
      </c>
      <c r="T263" s="7" t="str">
        <f t="shared" si="87"/>
        <v/>
      </c>
      <c r="U263" s="225"/>
      <c r="V263" s="3">
        <f t="shared" si="83"/>
        <v>0</v>
      </c>
      <c r="W263" s="3">
        <f t="shared" si="84"/>
        <v>0</v>
      </c>
      <c r="X263" s="3">
        <f t="shared" si="85"/>
        <v>0</v>
      </c>
      <c r="Y263" s="3">
        <f t="shared" si="86"/>
        <v>0</v>
      </c>
      <c r="AA263" s="614"/>
      <c r="AB263" s="615"/>
      <c r="AC263" s="615"/>
      <c r="AD263" s="615"/>
      <c r="AE263" s="616"/>
    </row>
    <row r="264" spans="3:31" s="7" customFormat="1" ht="12.75" customHeight="1">
      <c r="C264" s="110" t="s">
        <v>6</v>
      </c>
      <c r="D264" s="233"/>
      <c r="E264" s="233"/>
      <c r="F264" s="233"/>
      <c r="G264" s="306">
        <f>_xlfn.IFNA(VLOOKUP($C264,'Facteurs d''émission'!$D$2:$I$340,2,FALSE),"Non renseigné")</f>
        <v>3.1699999999999999E-2</v>
      </c>
      <c r="H264"/>
      <c r="I264" s="102">
        <f t="shared" si="75"/>
        <v>0</v>
      </c>
      <c r="J264" s="102">
        <f t="shared" si="76"/>
        <v>0</v>
      </c>
      <c r="K264" s="102">
        <f t="shared" si="77"/>
        <v>0</v>
      </c>
      <c r="L264" s="3">
        <f t="shared" si="78"/>
        <v>0</v>
      </c>
      <c r="M264" s="98"/>
      <c r="N264" s="307">
        <f>_xlfn.IFNA(VLOOKUP($C264,'Facteurs d''émission'!$D$2:$I$340,4,FALSE),"Non présent dans la base")</f>
        <v>0.2</v>
      </c>
      <c r="O264" s="224"/>
      <c r="P264" s="3">
        <f t="shared" si="79"/>
        <v>0</v>
      </c>
      <c r="Q264" s="3">
        <f t="shared" si="80"/>
        <v>0</v>
      </c>
      <c r="R264" s="3">
        <f t="shared" si="81"/>
        <v>0</v>
      </c>
      <c r="S264" s="3">
        <f t="shared" si="82"/>
        <v>0</v>
      </c>
      <c r="T264" s="7" t="str">
        <f t="shared" si="87"/>
        <v/>
      </c>
      <c r="U264" s="225"/>
      <c r="V264" s="3">
        <f t="shared" si="83"/>
        <v>0</v>
      </c>
      <c r="W264" s="3">
        <f t="shared" si="84"/>
        <v>0</v>
      </c>
      <c r="X264" s="3">
        <f t="shared" si="85"/>
        <v>0</v>
      </c>
      <c r="Y264" s="3">
        <f t="shared" si="86"/>
        <v>0</v>
      </c>
      <c r="AA264" s="614"/>
      <c r="AB264" s="615"/>
      <c r="AC264" s="615"/>
      <c r="AD264" s="615"/>
      <c r="AE264" s="616"/>
    </row>
    <row r="265" spans="3:31" s="7" customFormat="1" ht="12.75" customHeight="1">
      <c r="C265" s="110" t="s">
        <v>21</v>
      </c>
      <c r="D265" s="233"/>
      <c r="E265" s="233"/>
      <c r="F265" s="233"/>
      <c r="G265" s="306">
        <f>_xlfn.IFNA(VLOOKUP($C265,'Facteurs d''émission'!$D$2:$I$340,2,FALSE),"Non renseigné")</f>
        <v>3.9699999999999999E-2</v>
      </c>
      <c r="H265"/>
      <c r="I265" s="102">
        <f t="shared" si="75"/>
        <v>0</v>
      </c>
      <c r="J265" s="102">
        <f t="shared" si="76"/>
        <v>0</v>
      </c>
      <c r="K265" s="102">
        <f t="shared" si="77"/>
        <v>0</v>
      </c>
      <c r="L265" s="3">
        <f t="shared" si="78"/>
        <v>0</v>
      </c>
      <c r="M265" s="98"/>
      <c r="N265" s="307">
        <f>_xlfn.IFNA(VLOOKUP($C265,'Facteurs d''émission'!$D$2:$I$340,4,FALSE),"Non présent dans la base")</f>
        <v>0.2</v>
      </c>
      <c r="O265" s="224"/>
      <c r="P265" s="3">
        <f t="shared" si="79"/>
        <v>0</v>
      </c>
      <c r="Q265" s="3">
        <f t="shared" si="80"/>
        <v>0</v>
      </c>
      <c r="R265" s="3">
        <f t="shared" si="81"/>
        <v>0</v>
      </c>
      <c r="S265" s="3">
        <f t="shared" si="82"/>
        <v>0</v>
      </c>
      <c r="T265" s="7" t="str">
        <f t="shared" si="87"/>
        <v/>
      </c>
      <c r="U265" s="225"/>
      <c r="V265" s="3">
        <f t="shared" si="83"/>
        <v>0</v>
      </c>
      <c r="W265" s="3">
        <f t="shared" si="84"/>
        <v>0</v>
      </c>
      <c r="X265" s="3">
        <f t="shared" si="85"/>
        <v>0</v>
      </c>
      <c r="Y265" s="3">
        <f t="shared" si="86"/>
        <v>0</v>
      </c>
      <c r="AA265" s="614"/>
      <c r="AB265" s="615"/>
      <c r="AC265" s="615"/>
      <c r="AD265" s="615"/>
      <c r="AE265" s="616"/>
    </row>
    <row r="266" spans="3:31" s="7" customFormat="1" ht="12.75" customHeight="1">
      <c r="C266" s="110" t="s">
        <v>44</v>
      </c>
      <c r="D266" s="233"/>
      <c r="E266" s="233"/>
      <c r="F266" s="233"/>
      <c r="G266" s="306">
        <f>_xlfn.IFNA(VLOOKUP($C266,'Facteurs d''émission'!$D$2:$I$340,2,FALSE),"Non renseigné")</f>
        <v>7.4999999999999997E-2</v>
      </c>
      <c r="H266"/>
      <c r="I266" s="102">
        <f t="shared" si="75"/>
        <v>0</v>
      </c>
      <c r="J266" s="102">
        <f t="shared" si="76"/>
        <v>0</v>
      </c>
      <c r="K266" s="102">
        <f t="shared" si="77"/>
        <v>0</v>
      </c>
      <c r="L266" s="3">
        <f t="shared" si="78"/>
        <v>0</v>
      </c>
      <c r="M266" s="98"/>
      <c r="N266" s="307">
        <f>_xlfn.IFNA(VLOOKUP($C266,'Facteurs d''émission'!$D$2:$I$340,4,FALSE),"Non présent dans la base")</f>
        <v>0.2</v>
      </c>
      <c r="O266" s="224"/>
      <c r="P266" s="3">
        <f t="shared" si="79"/>
        <v>0</v>
      </c>
      <c r="Q266" s="3">
        <f t="shared" si="80"/>
        <v>0</v>
      </c>
      <c r="R266" s="3">
        <f t="shared" si="81"/>
        <v>0</v>
      </c>
      <c r="S266" s="3">
        <f t="shared" si="82"/>
        <v>0</v>
      </c>
      <c r="T266" s="7" t="str">
        <f t="shared" si="87"/>
        <v/>
      </c>
      <c r="U266" s="225"/>
      <c r="V266" s="3">
        <f t="shared" si="83"/>
        <v>0</v>
      </c>
      <c r="W266" s="3">
        <f t="shared" si="84"/>
        <v>0</v>
      </c>
      <c r="X266" s="3">
        <f t="shared" si="85"/>
        <v>0</v>
      </c>
      <c r="Y266" s="3">
        <f t="shared" si="86"/>
        <v>0</v>
      </c>
      <c r="AA266" s="614"/>
      <c r="AB266" s="615"/>
      <c r="AC266" s="615"/>
      <c r="AD266" s="615"/>
      <c r="AE266" s="616"/>
    </row>
    <row r="267" spans="3:31" s="7" customFormat="1" ht="12.75" customHeight="1">
      <c r="C267" s="110" t="s">
        <v>0</v>
      </c>
      <c r="D267" s="233"/>
      <c r="E267" s="233"/>
      <c r="F267" s="233"/>
      <c r="G267" s="306">
        <f>_xlfn.IFNA(VLOOKUP($C267,'Facteurs d''émission'!$D$2:$I$340,2,FALSE),"Non renseigné")</f>
        <v>3.7399999999999998E-3</v>
      </c>
      <c r="H267"/>
      <c r="I267" s="102">
        <f t="shared" ref="I267:I269" si="88">D267*$G267</f>
        <v>0</v>
      </c>
      <c r="J267" s="102">
        <f t="shared" ref="J267:J269" si="89">E267*$G267</f>
        <v>0</v>
      </c>
      <c r="K267" s="102">
        <f t="shared" ref="K267:K269" si="90">F267*$G267</f>
        <v>0</v>
      </c>
      <c r="L267" s="3">
        <f t="shared" ref="L267:L269" si="91">SUM(I267:K267)</f>
        <v>0</v>
      </c>
      <c r="M267" s="98"/>
      <c r="N267" s="307">
        <f>_xlfn.IFNA(VLOOKUP($C267,'Facteurs d''émission'!$D$2:$I$340,4,FALSE),"Non présent dans la base")</f>
        <v>0.2</v>
      </c>
      <c r="O267" s="224"/>
      <c r="P267" s="3">
        <f t="shared" ref="P267:P269" si="92">I267*(1-(1-$N267)*(1-$O267))</f>
        <v>0</v>
      </c>
      <c r="Q267" s="3">
        <f t="shared" ref="Q267:Q269" si="93">J267*(1-(1-$N267)*(1-$O267))</f>
        <v>0</v>
      </c>
      <c r="R267" s="3">
        <f t="shared" ref="R267:R269" si="94">K267*(1-(1-$N267)*(1-$O267))</f>
        <v>0</v>
      </c>
      <c r="S267" s="3">
        <f t="shared" ref="S267:S269" si="95">SUM(P267:R267)</f>
        <v>0</v>
      </c>
      <c r="T267" s="7" t="str">
        <f t="shared" si="87"/>
        <v/>
      </c>
      <c r="U267" s="225"/>
      <c r="V267" s="3">
        <f t="shared" ref="V267:V269" si="96">$U267*I267</f>
        <v>0</v>
      </c>
      <c r="W267" s="3">
        <f t="shared" ref="W267:W269" si="97">$U267*J267</f>
        <v>0</v>
      </c>
      <c r="X267" s="3">
        <f t="shared" ref="X267:X269" si="98">$U267*K267</f>
        <v>0</v>
      </c>
      <c r="Y267" s="3">
        <f t="shared" ref="Y267:Y269" si="99">SUM(V267:X267)</f>
        <v>0</v>
      </c>
      <c r="AA267" s="614"/>
      <c r="AB267" s="615"/>
      <c r="AC267" s="615"/>
      <c r="AD267" s="615"/>
      <c r="AE267" s="616"/>
    </row>
    <row r="268" spans="3:31" s="7" customFormat="1" ht="12.75" customHeight="1">
      <c r="C268" s="110" t="s">
        <v>306</v>
      </c>
      <c r="D268" s="233"/>
      <c r="E268" s="233"/>
      <c r="F268" s="233"/>
      <c r="G268" s="306">
        <f>_xlfn.IFNA(VLOOKUP($C268,'Facteurs d''émission'!$D$2:$I$340,2,FALSE),"Non renseigné")</f>
        <v>0</v>
      </c>
      <c r="H268"/>
      <c r="I268" s="102">
        <f t="shared" si="88"/>
        <v>0</v>
      </c>
      <c r="J268" s="102">
        <f t="shared" si="89"/>
        <v>0</v>
      </c>
      <c r="K268" s="102">
        <f t="shared" si="90"/>
        <v>0</v>
      </c>
      <c r="L268" s="3">
        <f t="shared" si="91"/>
        <v>0</v>
      </c>
      <c r="M268" s="98"/>
      <c r="N268" s="307">
        <f>_xlfn.IFNA(VLOOKUP($C268,'Facteurs d''émission'!$D$2:$I$340,4,FALSE),"Non présent dans la base")</f>
        <v>0</v>
      </c>
      <c r="O268" s="224"/>
      <c r="P268" s="3">
        <f t="shared" si="92"/>
        <v>0</v>
      </c>
      <c r="Q268" s="3">
        <f t="shared" si="93"/>
        <v>0</v>
      </c>
      <c r="R268" s="3">
        <f t="shared" si="94"/>
        <v>0</v>
      </c>
      <c r="S268" s="3">
        <f t="shared" si="95"/>
        <v>0</v>
      </c>
      <c r="T268" s="7" t="str">
        <f t="shared" si="87"/>
        <v/>
      </c>
      <c r="U268" s="225"/>
      <c r="V268" s="3">
        <f t="shared" si="96"/>
        <v>0</v>
      </c>
      <c r="W268" s="3">
        <f t="shared" si="97"/>
        <v>0</v>
      </c>
      <c r="X268" s="3">
        <f t="shared" si="98"/>
        <v>0</v>
      </c>
      <c r="Y268" s="3">
        <f t="shared" si="99"/>
        <v>0</v>
      </c>
      <c r="AA268" s="614"/>
      <c r="AB268" s="615"/>
      <c r="AC268" s="615"/>
      <c r="AD268" s="615"/>
      <c r="AE268" s="616"/>
    </row>
    <row r="269" spans="3:31" s="7" customFormat="1" ht="12.75" customHeight="1">
      <c r="C269" s="110" t="s">
        <v>306</v>
      </c>
      <c r="D269" s="233"/>
      <c r="E269" s="233"/>
      <c r="F269" s="233"/>
      <c r="G269" s="306">
        <f>_xlfn.IFNA(VLOOKUP($C269,'Facteurs d''émission'!$D$2:$I$340,2,FALSE),"Non renseigné")</f>
        <v>0</v>
      </c>
      <c r="H269"/>
      <c r="I269" s="102">
        <f t="shared" si="88"/>
        <v>0</v>
      </c>
      <c r="J269" s="102">
        <f t="shared" si="89"/>
        <v>0</v>
      </c>
      <c r="K269" s="102">
        <f t="shared" si="90"/>
        <v>0</v>
      </c>
      <c r="L269" s="3">
        <f t="shared" si="91"/>
        <v>0</v>
      </c>
      <c r="M269" s="98"/>
      <c r="N269" s="307">
        <f>_xlfn.IFNA(VLOOKUP($C269,'Facteurs d''émission'!$D$2:$I$340,4,FALSE),"Non présent dans la base")</f>
        <v>0</v>
      </c>
      <c r="O269" s="224"/>
      <c r="P269" s="3">
        <f t="shared" si="92"/>
        <v>0</v>
      </c>
      <c r="Q269" s="3">
        <f t="shared" si="93"/>
        <v>0</v>
      </c>
      <c r="R269" s="3">
        <f t="shared" si="94"/>
        <v>0</v>
      </c>
      <c r="S269" s="3">
        <f t="shared" si="95"/>
        <v>0</v>
      </c>
      <c r="T269" s="7" t="str">
        <f t="shared" si="87"/>
        <v/>
      </c>
      <c r="U269" s="225"/>
      <c r="V269" s="3">
        <f t="shared" si="96"/>
        <v>0</v>
      </c>
      <c r="W269" s="3">
        <f t="shared" si="97"/>
        <v>0</v>
      </c>
      <c r="X269" s="3">
        <f t="shared" si="98"/>
        <v>0</v>
      </c>
      <c r="Y269" s="3">
        <f t="shared" si="99"/>
        <v>0</v>
      </c>
      <c r="AA269" s="614"/>
      <c r="AB269" s="615"/>
      <c r="AC269" s="615"/>
      <c r="AD269" s="615"/>
      <c r="AE269" s="616"/>
    </row>
    <row r="270" spans="3:31" s="7" customFormat="1" ht="12.75" customHeight="1">
      <c r="C270" s="110" t="s">
        <v>306</v>
      </c>
      <c r="D270" s="233"/>
      <c r="E270" s="233"/>
      <c r="F270" s="233"/>
      <c r="G270" s="306">
        <f>_xlfn.IFNA(VLOOKUP($C270,'Facteurs d''émission'!$D$2:$I$340,2,FALSE),"Non renseigné")</f>
        <v>0</v>
      </c>
      <c r="H270"/>
      <c r="I270" s="102">
        <f t="shared" si="75"/>
        <v>0</v>
      </c>
      <c r="J270" s="102">
        <f t="shared" si="76"/>
        <v>0</v>
      </c>
      <c r="K270" s="102">
        <f t="shared" si="77"/>
        <v>0</v>
      </c>
      <c r="L270" s="3">
        <f t="shared" si="78"/>
        <v>0</v>
      </c>
      <c r="M270" s="98"/>
      <c r="N270" s="307">
        <f>_xlfn.IFNA(VLOOKUP($C270,'Facteurs d''émission'!$D$2:$I$340,4,FALSE),"Non présent dans la base")</f>
        <v>0</v>
      </c>
      <c r="O270" s="224"/>
      <c r="P270" s="3">
        <f t="shared" si="79"/>
        <v>0</v>
      </c>
      <c r="Q270" s="3">
        <f t="shared" si="80"/>
        <v>0</v>
      </c>
      <c r="R270" s="3">
        <f t="shared" si="81"/>
        <v>0</v>
      </c>
      <c r="S270" s="3">
        <f t="shared" si="82"/>
        <v>0</v>
      </c>
      <c r="T270" s="7" t="str">
        <f t="shared" si="87"/>
        <v/>
      </c>
      <c r="U270" s="225"/>
      <c r="V270" s="3">
        <f t="shared" si="83"/>
        <v>0</v>
      </c>
      <c r="W270" s="3">
        <f t="shared" si="84"/>
        <v>0</v>
      </c>
      <c r="X270" s="3">
        <f t="shared" si="85"/>
        <v>0</v>
      </c>
      <c r="Y270" s="3">
        <f t="shared" si="86"/>
        <v>0</v>
      </c>
      <c r="AA270" s="614"/>
      <c r="AB270" s="615"/>
      <c r="AC270" s="615"/>
      <c r="AD270" s="615"/>
      <c r="AE270" s="616"/>
    </row>
    <row r="271" spans="3:31" s="12" customFormat="1" ht="12.75" customHeight="1">
      <c r="C271" s="286" t="s">
        <v>11</v>
      </c>
      <c r="D271" s="511">
        <f>SUM(D258:D270)</f>
        <v>1492200</v>
      </c>
      <c r="E271" s="103">
        <f>SUM(E258:E270)</f>
        <v>0</v>
      </c>
      <c r="F271" s="103">
        <f t="shared" ref="F271" si="100">SUM(F258:F270)</f>
        <v>0</v>
      </c>
      <c r="G271" s="299"/>
      <c r="H271"/>
      <c r="I271" s="103">
        <f>SUM(I258:I270)</f>
        <v>15933.78</v>
      </c>
      <c r="J271" s="103">
        <f>SUM(J258:J270)</f>
        <v>0</v>
      </c>
      <c r="K271" s="103">
        <f>SUM(K258:K270)</f>
        <v>0</v>
      </c>
      <c r="L271" s="103">
        <f>SUM(L258:L270)</f>
        <v>15933.78</v>
      </c>
      <c r="M271" s="97"/>
      <c r="N271" s="570" t="str">
        <f>IF(COUNTA(D258:F270)&gt;COUNTIF(T258:T270,"ok"),"! Remplir une incertitude !","")</f>
        <v>! Remplir une incertitude !</v>
      </c>
      <c r="O271" s="571"/>
      <c r="P271" s="54">
        <f>SUM(P258:P270)</f>
        <v>8372.1959999999999</v>
      </c>
      <c r="Q271" s="54">
        <f>SUM(Q258:Q270)</f>
        <v>0</v>
      </c>
      <c r="R271" s="51">
        <f>SUM(R258:R270)</f>
        <v>0</v>
      </c>
      <c r="S271" s="51">
        <f>SUM(S258:S270)</f>
        <v>8372.1959999999999</v>
      </c>
      <c r="U271" s="52"/>
      <c r="V271" s="54">
        <f>SUM(V258:V270)</f>
        <v>0</v>
      </c>
      <c r="W271" s="54">
        <f>SUM(W258:W270)</f>
        <v>0</v>
      </c>
      <c r="X271" s="51">
        <f>SUM(X258:X270)</f>
        <v>0</v>
      </c>
      <c r="Y271" s="51">
        <f>SUM(Y258:Y270)</f>
        <v>0</v>
      </c>
      <c r="AA271" s="620" t="str">
        <f>IF(Y271&gt;0,IF(AA257="","Attention: vous devez planifier une action afin de remplir votre objectif",""),"")</f>
        <v/>
      </c>
      <c r="AB271" s="620"/>
      <c r="AC271" s="620"/>
      <c r="AD271" s="620"/>
      <c r="AE271" s="620"/>
    </row>
    <row r="272" spans="3:31" s="7" customFormat="1" ht="25.35" customHeight="1">
      <c r="C272" s="97"/>
      <c r="D272" s="98"/>
      <c r="E272" s="98"/>
      <c r="F272" s="98"/>
      <c r="G272" s="139"/>
      <c r="H272"/>
      <c r="I272" s="105"/>
      <c r="J272" s="105"/>
      <c r="K272" s="105"/>
      <c r="L272" s="105"/>
      <c r="M272" s="98"/>
      <c r="N272" s="11"/>
      <c r="P272" s="11"/>
      <c r="Q272" s="11"/>
      <c r="R272" s="11"/>
      <c r="S272" s="63"/>
      <c r="V272" s="11"/>
      <c r="W272" s="11"/>
      <c r="X272" s="11"/>
      <c r="Y272" s="63"/>
    </row>
    <row r="273" spans="1:31" s="7" customFormat="1" ht="12.75" customHeight="1">
      <c r="C273" s="97"/>
      <c r="D273" s="98"/>
      <c r="E273" s="12" t="s">
        <v>312</v>
      </c>
      <c r="F273" s="98"/>
      <c r="G273" s="139"/>
      <c r="H273"/>
      <c r="I273" s="105"/>
      <c r="J273" s="105"/>
      <c r="K273" s="105"/>
      <c r="L273" s="105"/>
      <c r="M273" s="98"/>
      <c r="N273" s="11"/>
      <c r="P273" s="11"/>
      <c r="Q273" s="11"/>
      <c r="R273" s="11"/>
      <c r="S273" s="63"/>
      <c r="V273" s="11"/>
      <c r="W273" s="11"/>
      <c r="X273" s="11"/>
      <c r="Y273" s="63"/>
    </row>
    <row r="274" spans="1:31" s="7" customFormat="1" ht="12.75" customHeight="1">
      <c r="C274" s="106"/>
      <c r="D274" s="106"/>
      <c r="E274" s="106"/>
      <c r="F274" s="106"/>
      <c r="G274" s="139"/>
      <c r="H274" s="98"/>
      <c r="I274" s="106"/>
      <c r="J274" s="106"/>
      <c r="K274" s="139"/>
      <c r="L274" s="106"/>
      <c r="M274" s="106"/>
      <c r="N274" s="139"/>
      <c r="O274" s="106"/>
    </row>
    <row r="275" spans="1:31" s="7" customFormat="1" ht="12.75" customHeight="1">
      <c r="C275" s="275" t="s">
        <v>143</v>
      </c>
      <c r="D275" s="97"/>
      <c r="E275" s="97"/>
      <c r="F275" s="97"/>
      <c r="G275" s="131"/>
      <c r="I275" s="63" t="s">
        <v>307</v>
      </c>
      <c r="K275" s="11"/>
      <c r="N275" s="147" t="s">
        <v>61</v>
      </c>
      <c r="O275" s="42"/>
      <c r="P275" s="42"/>
      <c r="Q275" s="42"/>
      <c r="R275" s="42"/>
      <c r="S275" s="42"/>
      <c r="T275" s="13"/>
      <c r="U275" s="42" t="s">
        <v>111</v>
      </c>
      <c r="V275" s="42"/>
      <c r="W275" s="42"/>
      <c r="X275" s="42"/>
      <c r="Y275" s="42"/>
      <c r="AA275" s="12" t="s">
        <v>109</v>
      </c>
    </row>
    <row r="276" spans="1:31" s="7" customFormat="1" ht="12.75" customHeight="1">
      <c r="C276" s="279" t="s">
        <v>91</v>
      </c>
      <c r="D276" s="665" t="s">
        <v>37</v>
      </c>
      <c r="E276" s="666"/>
      <c r="F276" s="653" t="s">
        <v>330</v>
      </c>
      <c r="G276" s="563" t="s">
        <v>331</v>
      </c>
      <c r="H276"/>
      <c r="I276" s="667" t="s">
        <v>232</v>
      </c>
      <c r="J276" s="668"/>
      <c r="K276" s="669"/>
      <c r="M276" s="98"/>
      <c r="N276" s="670" t="s">
        <v>286</v>
      </c>
      <c r="O276" s="589" t="s">
        <v>333</v>
      </c>
      <c r="P276" s="578" t="s">
        <v>232</v>
      </c>
      <c r="Q276" s="578"/>
      <c r="R276" s="578"/>
      <c r="S276" s="578"/>
      <c r="T276" s="13"/>
      <c r="U276" s="560" t="s">
        <v>288</v>
      </c>
      <c r="V276" s="624" t="s">
        <v>238</v>
      </c>
      <c r="W276" s="625"/>
      <c r="X276" s="625"/>
      <c r="Y276" s="625"/>
      <c r="AA276" s="554" t="s">
        <v>165</v>
      </c>
      <c r="AB276" s="554"/>
      <c r="AC276" s="554"/>
      <c r="AD276" s="554"/>
      <c r="AE276" s="554"/>
    </row>
    <row r="277" spans="1:31" s="7" customFormat="1" ht="12.75" customHeight="1">
      <c r="C277" s="279"/>
      <c r="D277" s="279" t="s">
        <v>33</v>
      </c>
      <c r="E277" s="304" t="s">
        <v>27</v>
      </c>
      <c r="F277" s="654"/>
      <c r="G277" s="565"/>
      <c r="H277"/>
      <c r="I277" s="279" t="s">
        <v>36</v>
      </c>
      <c r="J277" s="278" t="s">
        <v>27</v>
      </c>
      <c r="K277" s="280" t="s">
        <v>25</v>
      </c>
      <c r="M277" s="98"/>
      <c r="N277" s="670"/>
      <c r="O277" s="589"/>
      <c r="P277" s="672"/>
      <c r="Q277" s="279" t="s">
        <v>36</v>
      </c>
      <c r="R277" s="279" t="s">
        <v>27</v>
      </c>
      <c r="S277" s="280" t="s">
        <v>25</v>
      </c>
      <c r="T277" s="9"/>
      <c r="U277" s="671"/>
      <c r="V277" s="621"/>
      <c r="W277" s="279" t="s">
        <v>36</v>
      </c>
      <c r="X277" s="279" t="s">
        <v>27</v>
      </c>
      <c r="Y277" s="280" t="s">
        <v>25</v>
      </c>
      <c r="AA277" s="598" t="s">
        <v>275</v>
      </c>
      <c r="AB277" s="612"/>
      <c r="AC277" s="612"/>
      <c r="AD277" s="612"/>
      <c r="AE277" s="613"/>
    </row>
    <row r="278" spans="1:31" s="7" customFormat="1" ht="12.75" customHeight="1">
      <c r="C278" s="157" t="s">
        <v>411</v>
      </c>
      <c r="D278" s="512">
        <v>14000</v>
      </c>
      <c r="E278" s="510"/>
      <c r="F278" s="306">
        <f>_xlfn.IFNA(VLOOKUP($C278,'Facteurs d''émission'!$D$2:$I$340,2,FALSE),"Non renseigné")</f>
        <v>0.33</v>
      </c>
      <c r="G278" s="265"/>
      <c r="H278"/>
      <c r="I278" s="102">
        <f t="shared" ref="I278:J280" si="101">D278*($F278+$G278)</f>
        <v>4620</v>
      </c>
      <c r="J278" s="102">
        <f t="shared" si="101"/>
        <v>0</v>
      </c>
      <c r="K278" s="3">
        <f>SUM(H278:J278)</f>
        <v>4620</v>
      </c>
      <c r="M278" s="98"/>
      <c r="N278" s="326">
        <f>_xlfn.IFNA(VLOOKUP($C278,'Facteurs d''émission'!$D$2:$I$340,4,FALSE),"Non présent dans la base")</f>
        <v>0.7</v>
      </c>
      <c r="O278" s="224"/>
      <c r="P278" s="672"/>
      <c r="Q278" s="3">
        <f t="shared" ref="Q278:R283" si="102">I278*(1-(1-$N278)*(1-$O278))</f>
        <v>3234</v>
      </c>
      <c r="R278" s="3">
        <f t="shared" si="102"/>
        <v>0</v>
      </c>
      <c r="S278" s="3">
        <f>SUM(Q278:R278)</f>
        <v>3234</v>
      </c>
      <c r="T278" s="7" t="str">
        <f>IF(COUNTA(D278:F278)*COUNTA(O278)&gt;0,"ok","")</f>
        <v/>
      </c>
      <c r="U278" s="237"/>
      <c r="V278" s="622"/>
      <c r="W278" s="3">
        <f t="shared" ref="W278:X283" si="103">$U278*I278</f>
        <v>0</v>
      </c>
      <c r="X278" s="3">
        <f t="shared" si="103"/>
        <v>0</v>
      </c>
      <c r="Y278" s="3">
        <f t="shared" ref="Y278:Y283" si="104">SUM(W278:X278)</f>
        <v>0</v>
      </c>
      <c r="AA278" s="614"/>
      <c r="AB278" s="615"/>
      <c r="AC278" s="615"/>
      <c r="AD278" s="615"/>
      <c r="AE278" s="616"/>
    </row>
    <row r="279" spans="1:31" s="7" customFormat="1" ht="12.75" customHeight="1">
      <c r="C279" s="157" t="s">
        <v>407</v>
      </c>
      <c r="D279" s="512">
        <v>240892</v>
      </c>
      <c r="E279" s="512"/>
      <c r="F279" s="306">
        <f>_xlfn.IFNA(VLOOKUP($C279,'Facteurs d''émission'!$D$2:$I$340,2,FALSE),"Non renseigné")</f>
        <v>0.24</v>
      </c>
      <c r="G279" s="265"/>
      <c r="H279"/>
      <c r="I279" s="102">
        <f t="shared" si="101"/>
        <v>57814.079999999994</v>
      </c>
      <c r="J279" s="102">
        <f t="shared" si="101"/>
        <v>0</v>
      </c>
      <c r="K279" s="3">
        <f t="shared" ref="K279:K283" si="105">SUM(H279:J279)</f>
        <v>57814.079999999994</v>
      </c>
      <c r="M279" s="98"/>
      <c r="N279" s="326">
        <f>_xlfn.IFNA(VLOOKUP($C279,'Facteurs d''émission'!$D$2:$I$340,4,FALSE),"Non présent dans la base")</f>
        <v>0.7</v>
      </c>
      <c r="O279" s="224"/>
      <c r="P279" s="672"/>
      <c r="Q279" s="3">
        <f t="shared" si="102"/>
        <v>40469.855999999992</v>
      </c>
      <c r="R279" s="3">
        <f t="shared" si="102"/>
        <v>0</v>
      </c>
      <c r="S279" s="3">
        <f t="shared" ref="S279:S283" si="106">SUM(Q279:R279)</f>
        <v>40469.855999999992</v>
      </c>
      <c r="T279" s="7" t="str">
        <f>IF(COUNTA(D279:F279)*COUNTA(O279)&gt;0,"ok","")</f>
        <v/>
      </c>
      <c r="U279" s="237"/>
      <c r="V279" s="622"/>
      <c r="W279" s="3">
        <f t="shared" si="103"/>
        <v>0</v>
      </c>
      <c r="X279" s="3">
        <f t="shared" si="103"/>
        <v>0</v>
      </c>
      <c r="Y279" s="3">
        <f t="shared" si="104"/>
        <v>0</v>
      </c>
      <c r="AA279" s="614"/>
      <c r="AB279" s="615"/>
      <c r="AC279" s="615"/>
      <c r="AD279" s="615"/>
      <c r="AE279" s="616"/>
    </row>
    <row r="280" spans="1:31" s="7" customFormat="1" ht="12.75" customHeight="1">
      <c r="C280" s="157" t="s">
        <v>410</v>
      </c>
      <c r="D280" s="510">
        <v>1659872</v>
      </c>
      <c r="E280" s="510"/>
      <c r="F280" s="306">
        <f>_xlfn.IFNA(VLOOKUP($C280,'Facteurs d''émission'!$D$2:$I$340,2,FALSE),"Non renseigné")</f>
        <v>0.15</v>
      </c>
      <c r="G280" s="265"/>
      <c r="H280"/>
      <c r="I280" s="102">
        <f t="shared" si="101"/>
        <v>248980.8</v>
      </c>
      <c r="J280" s="102">
        <f t="shared" si="101"/>
        <v>0</v>
      </c>
      <c r="K280" s="3">
        <f t="shared" si="105"/>
        <v>248980.8</v>
      </c>
      <c r="M280" s="98"/>
      <c r="N280" s="326">
        <f>_xlfn.IFNA(VLOOKUP($C280,'Facteurs d''émission'!$D$2:$I$340,4,FALSE),"Non présent dans la base")</f>
        <v>0.7</v>
      </c>
      <c r="O280" s="224"/>
      <c r="P280" s="672"/>
      <c r="Q280" s="3">
        <f t="shared" si="102"/>
        <v>174286.55999999997</v>
      </c>
      <c r="R280" s="3">
        <f t="shared" si="102"/>
        <v>0</v>
      </c>
      <c r="S280" s="3">
        <f t="shared" si="106"/>
        <v>174286.55999999997</v>
      </c>
      <c r="T280" s="7" t="str">
        <f>IF(COUNTA(D280:F280)*COUNTA(O280)&gt;0,"ok","")</f>
        <v/>
      </c>
      <c r="U280" s="237"/>
      <c r="V280" s="622"/>
      <c r="W280" s="3">
        <f t="shared" si="103"/>
        <v>0</v>
      </c>
      <c r="X280" s="3">
        <f t="shared" si="103"/>
        <v>0</v>
      </c>
      <c r="Y280" s="3">
        <f t="shared" si="104"/>
        <v>0</v>
      </c>
      <c r="AA280" s="614"/>
      <c r="AB280" s="615"/>
      <c r="AC280" s="615"/>
      <c r="AD280" s="615"/>
      <c r="AE280" s="616"/>
    </row>
    <row r="281" spans="1:31" s="7" customFormat="1" ht="12.75" customHeight="1">
      <c r="C281" s="157" t="s">
        <v>408</v>
      </c>
      <c r="D281" s="512"/>
      <c r="E281" s="233"/>
      <c r="F281" s="306">
        <f>_xlfn.IFNA(VLOOKUP($C281,'Facteurs d''émission'!$D$2:$I$340,2,FALSE),"Non renseigné")</f>
        <v>0.13</v>
      </c>
      <c r="G281" s="265"/>
      <c r="H281"/>
      <c r="I281" s="102">
        <f t="shared" ref="I281:I283" si="107">D281*($F281+$G281)</f>
        <v>0</v>
      </c>
      <c r="J281" s="102">
        <f t="shared" ref="J281:J283" si="108">E281*($F281+$G281)</f>
        <v>0</v>
      </c>
      <c r="K281" s="3">
        <f t="shared" si="105"/>
        <v>0</v>
      </c>
      <c r="M281" s="98"/>
      <c r="N281" s="326">
        <f>_xlfn.IFNA(VLOOKUP($C281,'Facteurs d''émission'!$D$2:$I$340,4,FALSE),"Non présent dans la base")</f>
        <v>0.1</v>
      </c>
      <c r="O281" s="224"/>
      <c r="P281" s="672"/>
      <c r="Q281" s="3">
        <f t="shared" si="102"/>
        <v>0</v>
      </c>
      <c r="R281" s="3">
        <f t="shared" si="102"/>
        <v>0</v>
      </c>
      <c r="S281" s="3">
        <f t="shared" si="106"/>
        <v>0</v>
      </c>
      <c r="T281" s="7" t="str">
        <f t="shared" ref="T281:T283" si="109">IF(COUNTA(D281:F281)*COUNTA(O281)&gt;0,"ok","")</f>
        <v/>
      </c>
      <c r="U281" s="237"/>
      <c r="V281" s="622"/>
      <c r="W281" s="3">
        <f t="shared" si="103"/>
        <v>0</v>
      </c>
      <c r="X281" s="3">
        <f t="shared" si="103"/>
        <v>0</v>
      </c>
      <c r="Y281" s="3">
        <f t="shared" si="104"/>
        <v>0</v>
      </c>
      <c r="AA281" s="614"/>
      <c r="AB281" s="615"/>
      <c r="AC281" s="615"/>
      <c r="AD281" s="615"/>
      <c r="AE281" s="616"/>
    </row>
    <row r="282" spans="1:31" s="7" customFormat="1" ht="12.75" customHeight="1">
      <c r="C282" s="157" t="s">
        <v>409</v>
      </c>
      <c r="D282" s="512"/>
      <c r="E282" s="233"/>
      <c r="F282" s="306">
        <f>_xlfn.IFNA(VLOOKUP($C282,'Facteurs d''émission'!$D$2:$I$340,2,FALSE),"Non renseigné")</f>
        <v>0.18</v>
      </c>
      <c r="G282" s="265"/>
      <c r="H282"/>
      <c r="I282" s="102">
        <f t="shared" si="107"/>
        <v>0</v>
      </c>
      <c r="J282" s="102">
        <f t="shared" si="108"/>
        <v>0</v>
      </c>
      <c r="K282" s="3">
        <f t="shared" si="105"/>
        <v>0</v>
      </c>
      <c r="M282" s="98"/>
      <c r="N282" s="326">
        <f>_xlfn.IFNA(VLOOKUP($C282,'Facteurs d''émission'!$D$2:$I$340,4,FALSE),"Non présent dans la base")</f>
        <v>0.1</v>
      </c>
      <c r="O282" s="224"/>
      <c r="P282" s="672"/>
      <c r="Q282" s="3">
        <f t="shared" si="102"/>
        <v>0</v>
      </c>
      <c r="R282" s="3">
        <f t="shared" si="102"/>
        <v>0</v>
      </c>
      <c r="S282" s="3">
        <f t="shared" si="106"/>
        <v>0</v>
      </c>
      <c r="T282" s="7" t="str">
        <f t="shared" si="109"/>
        <v/>
      </c>
      <c r="U282" s="237"/>
      <c r="V282" s="622"/>
      <c r="W282" s="3">
        <f t="shared" si="103"/>
        <v>0</v>
      </c>
      <c r="X282" s="3">
        <f t="shared" si="103"/>
        <v>0</v>
      </c>
      <c r="Y282" s="3">
        <f t="shared" si="104"/>
        <v>0</v>
      </c>
      <c r="AA282" s="614"/>
      <c r="AB282" s="615"/>
      <c r="AC282" s="615"/>
      <c r="AD282" s="615"/>
      <c r="AE282" s="616"/>
    </row>
    <row r="283" spans="1:31" s="7" customFormat="1" ht="12.75" customHeight="1">
      <c r="C283" s="157" t="s">
        <v>458</v>
      </c>
      <c r="D283" s="512">
        <v>103200</v>
      </c>
      <c r="E283" s="233"/>
      <c r="F283" s="306">
        <f>_xlfn.IFNA(VLOOKUP($C283,'Facteurs d''émission'!$D$2:$I$340,2,FALSE),"Non renseigné")</f>
        <v>0.17</v>
      </c>
      <c r="G283" s="265"/>
      <c r="H283"/>
      <c r="I283" s="102">
        <f t="shared" si="107"/>
        <v>17544</v>
      </c>
      <c r="J283" s="102">
        <f t="shared" si="108"/>
        <v>0</v>
      </c>
      <c r="K283" s="3">
        <f t="shared" si="105"/>
        <v>17544</v>
      </c>
      <c r="M283" s="98"/>
      <c r="N283" s="326">
        <f>_xlfn.IFNA(VLOOKUP($C283,'Facteurs d''émission'!$D$2:$I$340,4,FALSE),"Non présent dans la base")</f>
        <v>0.7</v>
      </c>
      <c r="O283" s="224"/>
      <c r="P283" s="672"/>
      <c r="Q283" s="3">
        <f t="shared" si="102"/>
        <v>12280.8</v>
      </c>
      <c r="R283" s="3">
        <f t="shared" si="102"/>
        <v>0</v>
      </c>
      <c r="S283" s="3">
        <f t="shared" si="106"/>
        <v>12280.8</v>
      </c>
      <c r="T283" s="7" t="str">
        <f t="shared" si="109"/>
        <v/>
      </c>
      <c r="U283" s="237"/>
      <c r="V283" s="622"/>
      <c r="W283" s="3">
        <f t="shared" si="103"/>
        <v>0</v>
      </c>
      <c r="X283" s="3">
        <f t="shared" si="103"/>
        <v>0</v>
      </c>
      <c r="Y283" s="3">
        <f t="shared" si="104"/>
        <v>0</v>
      </c>
      <c r="AA283" s="614"/>
      <c r="AB283" s="615"/>
      <c r="AC283" s="615"/>
      <c r="AD283" s="615"/>
      <c r="AE283" s="616"/>
    </row>
    <row r="284" spans="1:31" s="12" customFormat="1" ht="12.75" customHeight="1">
      <c r="C284" s="286" t="s">
        <v>11</v>
      </c>
      <c r="D284" s="511">
        <f>SUM(D278:D283)</f>
        <v>2017964</v>
      </c>
      <c r="E284" s="511">
        <f>SUM(E278:E283)</f>
        <v>0</v>
      </c>
      <c r="F284" s="299"/>
      <c r="G284" s="286"/>
      <c r="H284"/>
      <c r="I284" s="103">
        <f>SUM(I278:I283)</f>
        <v>328958.88</v>
      </c>
      <c r="J284" s="103">
        <f>SUM(J278:J283)</f>
        <v>0</v>
      </c>
      <c r="K284" s="103">
        <f>SUM(K278:K283)</f>
        <v>328958.88</v>
      </c>
      <c r="M284" s="109"/>
      <c r="N284" s="637" t="str">
        <f>IF(COUNTA(D278:E283)&gt;COUNTIF(T278:T283,"ok"),"! Remplir une incertitude !","")</f>
        <v>! Remplir une incertitude !</v>
      </c>
      <c r="O284" s="638"/>
      <c r="P284" s="672"/>
      <c r="Q284" s="51">
        <f>SUM(Q278:Q283)</f>
        <v>230271.21599999996</v>
      </c>
      <c r="R284" s="51">
        <f>SUM(R278:R283)</f>
        <v>0</v>
      </c>
      <c r="S284" s="51">
        <f>SUM(S278:S283)</f>
        <v>230271.21599999996</v>
      </c>
      <c r="U284" s="52"/>
      <c r="V284" s="623"/>
      <c r="W284" s="51">
        <f>SUM(W278:W283)</f>
        <v>0</v>
      </c>
      <c r="X284" s="51">
        <f>SUM(X278:X283)</f>
        <v>0</v>
      </c>
      <c r="Y284" s="51">
        <f>SUM(Y278:Y283)</f>
        <v>0</v>
      </c>
      <c r="AA284" s="620" t="str">
        <f>IF(Y284&gt;0,IF(AA277="","Attention: vous devez planifier une action afin de remplir votre objectif",""),"")</f>
        <v/>
      </c>
      <c r="AB284" s="620"/>
      <c r="AC284" s="620"/>
      <c r="AD284" s="620"/>
      <c r="AE284" s="620"/>
    </row>
    <row r="285" spans="1:31" s="7" customFormat="1" ht="12.75" customHeight="1">
      <c r="C285" s="13"/>
      <c r="D285" s="13"/>
      <c r="E285" s="13"/>
      <c r="F285" s="13"/>
      <c r="G285" s="11"/>
      <c r="H285" s="11"/>
      <c r="K285" s="11"/>
      <c r="N285" s="11"/>
    </row>
    <row r="286" spans="1:31" s="7" customFormat="1" ht="12.75" customHeight="1">
      <c r="C286" s="13"/>
      <c r="D286" s="13"/>
      <c r="E286" s="13"/>
      <c r="F286" s="13"/>
      <c r="G286" s="11"/>
      <c r="H286" s="11"/>
      <c r="K286" s="11"/>
      <c r="N286" s="11"/>
    </row>
    <row r="287" spans="1:31" s="7" customFormat="1" ht="12.75" customHeight="1">
      <c r="C287" s="13"/>
      <c r="D287" s="13"/>
      <c r="E287" s="13"/>
      <c r="F287" s="13"/>
      <c r="G287" s="11"/>
      <c r="H287" s="11"/>
      <c r="K287" s="11"/>
      <c r="N287" s="11"/>
    </row>
    <row r="288" spans="1:31" s="65" customFormat="1" ht="15.6">
      <c r="A288" s="64"/>
      <c r="B288" s="64"/>
      <c r="C288" s="630" t="s">
        <v>144</v>
      </c>
      <c r="D288" s="630"/>
      <c r="E288" s="630"/>
      <c r="F288" s="630"/>
      <c r="G288" s="630"/>
      <c r="H288" s="630"/>
      <c r="I288" s="630"/>
      <c r="J288" s="630"/>
      <c r="K288" s="630"/>
      <c r="L288" s="20"/>
      <c r="N288" s="111"/>
    </row>
    <row r="289" spans="1:16" s="65" customFormat="1">
      <c r="C289" s="111"/>
      <c r="D289" s="111"/>
      <c r="G289" s="111"/>
      <c r="K289" s="111"/>
      <c r="N289" s="111"/>
    </row>
    <row r="290" spans="1:16" s="64" customFormat="1" ht="12">
      <c r="A290" s="65"/>
      <c r="B290" s="65"/>
      <c r="C290" s="12" t="s">
        <v>146</v>
      </c>
      <c r="D290" s="12"/>
      <c r="E290" s="61" t="s">
        <v>19</v>
      </c>
      <c r="F290" s="325"/>
      <c r="G290"/>
      <c r="H290" s="13"/>
      <c r="I290" s="553" t="s">
        <v>61</v>
      </c>
      <c r="J290" s="553"/>
      <c r="K290" s="553"/>
      <c r="L290" s="13"/>
      <c r="M290" s="588" t="s">
        <v>111</v>
      </c>
      <c r="N290" s="573"/>
      <c r="O290" s="573"/>
      <c r="P290" s="13" t="s">
        <v>12</v>
      </c>
    </row>
    <row r="291" spans="1:16" s="65" customFormat="1">
      <c r="A291" s="64"/>
      <c r="B291" s="64"/>
      <c r="C291" s="322" t="s">
        <v>85</v>
      </c>
      <c r="D291" s="323" t="s">
        <v>232</v>
      </c>
      <c r="E291" s="323" t="s">
        <v>304</v>
      </c>
      <c r="F291" s="324" t="s">
        <v>66</v>
      </c>
      <c r="G291"/>
      <c r="H291" s="66"/>
      <c r="I291" s="323" t="s">
        <v>232</v>
      </c>
      <c r="J291" s="323" t="s">
        <v>304</v>
      </c>
      <c r="K291" s="323" t="s">
        <v>49</v>
      </c>
      <c r="L291" s="66"/>
      <c r="M291" s="323" t="s">
        <v>232</v>
      </c>
      <c r="N291" s="324" t="s">
        <v>304</v>
      </c>
      <c r="O291" s="323" t="s">
        <v>48</v>
      </c>
      <c r="P291" s="323" t="s">
        <v>304</v>
      </c>
    </row>
    <row r="292" spans="1:16" s="64" customFormat="1">
      <c r="C292" s="86" t="s">
        <v>20</v>
      </c>
      <c r="D292" s="89">
        <f>I221+I238+I250+I271+H284</f>
        <v>161477.28</v>
      </c>
      <c r="E292" s="85">
        <f t="shared" ref="E292:E301" si="110">D292/1000</f>
        <v>161.47728000000001</v>
      </c>
      <c r="F292" s="90">
        <f>IF(E$302=0,"",E292/E$302)</f>
        <v>0.3292523944400837</v>
      </c>
      <c r="I292" s="85">
        <f>P221+P238+P250+P271</f>
        <v>95698.295999999988</v>
      </c>
      <c r="J292" s="85">
        <f>I292/1000</f>
        <v>95.698295999999985</v>
      </c>
      <c r="K292" s="90">
        <f>IF(D292=0,"",I292/D292)</f>
        <v>0.59264248196402602</v>
      </c>
      <c r="M292" s="85">
        <f>V221+V238+V250+V271</f>
        <v>0</v>
      </c>
      <c r="N292" s="85">
        <f>M292/1000</f>
        <v>0</v>
      </c>
      <c r="O292" s="71">
        <f>IF($D292=0,"",M292/$D298)</f>
        <v>0</v>
      </c>
      <c r="P292" s="92">
        <f>E292-N292</f>
        <v>161.47728000000001</v>
      </c>
    </row>
    <row r="293" spans="1:16" s="64" customFormat="1">
      <c r="C293" s="86" t="s">
        <v>38</v>
      </c>
      <c r="D293" s="89">
        <f>J221+J238+J250+J271+I284</f>
        <v>328958.88</v>
      </c>
      <c r="E293" s="85">
        <f t="shared" si="110"/>
        <v>328.95888000000002</v>
      </c>
      <c r="F293" s="90">
        <f>IF(E$302=0,"",E293/E$302)</f>
        <v>0.6707476055599163</v>
      </c>
      <c r="I293" s="85">
        <f>Q221+Q238+Q250+Q271+Q284</f>
        <v>230271.21599999996</v>
      </c>
      <c r="J293" s="85">
        <f>I293/1000</f>
        <v>230.27121599999995</v>
      </c>
      <c r="K293" s="90">
        <f>IF(D293=0,"",I293/D293)</f>
        <v>0.69999999999999984</v>
      </c>
      <c r="M293" s="85">
        <f>W221+W238+W250+W271+W284</f>
        <v>0</v>
      </c>
      <c r="N293" s="85">
        <f>M293/1000</f>
        <v>0</v>
      </c>
      <c r="O293" s="71">
        <f>IF($D293=0,"",M293/$D299)</f>
        <v>0</v>
      </c>
      <c r="P293" s="92">
        <f>E293-N293</f>
        <v>328.95888000000002</v>
      </c>
    </row>
    <row r="294" spans="1:16" s="64" customFormat="1">
      <c r="C294" s="86" t="s">
        <v>39</v>
      </c>
      <c r="D294" s="89">
        <f>K221+K238+K250+K271+J284</f>
        <v>0</v>
      </c>
      <c r="E294" s="85">
        <f t="shared" si="110"/>
        <v>0</v>
      </c>
      <c r="F294" s="90">
        <f>IF(E$302=0,"",E294/E$302)</f>
        <v>0</v>
      </c>
      <c r="I294" s="85">
        <f>R221+R238+R250+R271+R284</f>
        <v>0</v>
      </c>
      <c r="J294" s="85">
        <f>I294/1000</f>
        <v>0</v>
      </c>
      <c r="K294" s="90" t="str">
        <f>IF(D294=0,"",I294/D294)</f>
        <v/>
      </c>
      <c r="M294" s="85">
        <f>X221+X238+X250+X271+X284</f>
        <v>0</v>
      </c>
      <c r="N294" s="85">
        <f>M294/1000</f>
        <v>0</v>
      </c>
      <c r="O294" s="71" t="str">
        <f>IF($D294=0,"",M294/$D300)</f>
        <v/>
      </c>
      <c r="P294" s="92">
        <f>E294-N294</f>
        <v>0</v>
      </c>
    </row>
    <row r="295" spans="1:16" s="64" customFormat="1" ht="12">
      <c r="F295" s="87"/>
      <c r="H295" s="12"/>
      <c r="L295" s="12"/>
      <c r="N295" s="148"/>
    </row>
    <row r="296" spans="1:16" s="64" customFormat="1" ht="12">
      <c r="C296" s="12" t="s">
        <v>145</v>
      </c>
      <c r="D296" s="42" t="s">
        <v>19</v>
      </c>
      <c r="E296" s="132"/>
      <c r="F296" s="132"/>
      <c r="H296" s="13"/>
      <c r="I296" s="553" t="s">
        <v>61</v>
      </c>
      <c r="J296" s="553"/>
      <c r="K296" s="553"/>
      <c r="L296" s="13"/>
      <c r="M296" s="588" t="s">
        <v>111</v>
      </c>
      <c r="N296" s="573"/>
      <c r="O296" s="573"/>
      <c r="P296" s="13" t="s">
        <v>12</v>
      </c>
    </row>
    <row r="297" spans="1:16" s="65" customFormat="1">
      <c r="A297" s="64"/>
      <c r="B297" s="64"/>
      <c r="C297" s="322" t="s">
        <v>86</v>
      </c>
      <c r="D297" s="323" t="s">
        <v>232</v>
      </c>
      <c r="E297" s="323" t="s">
        <v>304</v>
      </c>
      <c r="F297" s="324" t="s">
        <v>66</v>
      </c>
      <c r="H297" s="66"/>
      <c r="I297" s="323" t="s">
        <v>232</v>
      </c>
      <c r="J297" s="323" t="s">
        <v>304</v>
      </c>
      <c r="K297" s="323" t="s">
        <v>49</v>
      </c>
      <c r="L297" s="66"/>
      <c r="M297" s="323" t="s">
        <v>232</v>
      </c>
      <c r="N297" s="324" t="s">
        <v>304</v>
      </c>
      <c r="O297" s="323" t="s">
        <v>48</v>
      </c>
      <c r="P297" s="323" t="s">
        <v>304</v>
      </c>
    </row>
    <row r="298" spans="1:16" s="65" customFormat="1">
      <c r="C298" s="67" t="s">
        <v>40</v>
      </c>
      <c r="D298" s="68">
        <f>L221</f>
        <v>129343.5</v>
      </c>
      <c r="E298" s="69">
        <f>D298/1000</f>
        <v>129.34350000000001</v>
      </c>
      <c r="F298" s="112">
        <f>IF(E$302=0,"",E298/E$302)</f>
        <v>0.26373157313685841</v>
      </c>
      <c r="I298" s="69">
        <f>S221</f>
        <v>77606.099999999991</v>
      </c>
      <c r="J298" s="69">
        <f>I298/1000</f>
        <v>77.606099999999998</v>
      </c>
      <c r="K298" s="112">
        <f>IF(D298=0,"",I298/D298)</f>
        <v>0.6</v>
      </c>
      <c r="M298" s="69">
        <f>Y221</f>
        <v>0</v>
      </c>
      <c r="N298" s="69">
        <f>M298/1000</f>
        <v>0</v>
      </c>
      <c r="O298" s="71">
        <f>IF($D298=0,"",M298/$D298)</f>
        <v>0</v>
      </c>
      <c r="P298" s="72">
        <f>E298-N298</f>
        <v>129.34350000000001</v>
      </c>
    </row>
    <row r="299" spans="1:16" s="65" customFormat="1">
      <c r="C299" s="67" t="s">
        <v>41</v>
      </c>
      <c r="D299" s="68">
        <f>L238+L250</f>
        <v>16200</v>
      </c>
      <c r="E299" s="69">
        <f t="shared" si="110"/>
        <v>16.2</v>
      </c>
      <c r="F299" s="112">
        <f>IF(E$302=0,"",E299/E$302)</f>
        <v>3.303182212339318E-2</v>
      </c>
      <c r="I299" s="69">
        <f>S238+S250</f>
        <v>9720</v>
      </c>
      <c r="J299" s="69">
        <f>I299/1000</f>
        <v>9.7200000000000006</v>
      </c>
      <c r="K299" s="112">
        <f>IF(D299=0,"",I299/D299)</f>
        <v>0.6</v>
      </c>
      <c r="M299" s="69">
        <f>Y238+Y250</f>
        <v>0</v>
      </c>
      <c r="N299" s="69">
        <f>M299/1000</f>
        <v>0</v>
      </c>
      <c r="O299" s="71">
        <f>IF($D299=0,"",M299/$D299)</f>
        <v>0</v>
      </c>
      <c r="P299" s="72">
        <f>E299-N299</f>
        <v>16.2</v>
      </c>
    </row>
    <row r="300" spans="1:16" s="65" customFormat="1">
      <c r="C300" s="67" t="s">
        <v>42</v>
      </c>
      <c r="D300" s="68">
        <f>L271</f>
        <v>15933.78</v>
      </c>
      <c r="E300" s="69">
        <f t="shared" si="110"/>
        <v>15.93378</v>
      </c>
      <c r="F300" s="112">
        <f>IF(E$302=0,"",E300/E$302)</f>
        <v>3.2488999179832091E-2</v>
      </c>
      <c r="I300" s="69">
        <f>S271</f>
        <v>8372.1959999999999</v>
      </c>
      <c r="J300" s="69">
        <f>I300/1000</f>
        <v>8.3721960000000006</v>
      </c>
      <c r="K300" s="112">
        <f>IF(D300=0,"",I300/D300)</f>
        <v>0.5254369019780617</v>
      </c>
      <c r="M300" s="69">
        <f>Y271</f>
        <v>0</v>
      </c>
      <c r="N300" s="69">
        <f>M300/1000</f>
        <v>0</v>
      </c>
      <c r="O300" s="71">
        <f>IF($D300=0,"",M300/$D300)</f>
        <v>0</v>
      </c>
      <c r="P300" s="72">
        <f>E300-N300</f>
        <v>15.93378</v>
      </c>
    </row>
    <row r="301" spans="1:16" s="65" customFormat="1">
      <c r="C301" s="73" t="s">
        <v>43</v>
      </c>
      <c r="D301" s="74">
        <f>K284</f>
        <v>328958.88</v>
      </c>
      <c r="E301" s="69">
        <f t="shared" si="110"/>
        <v>328.95888000000002</v>
      </c>
      <c r="F301" s="112">
        <f>IF(E$302=0,"",E301/E$302)</f>
        <v>0.6707476055599163</v>
      </c>
      <c r="I301" s="69">
        <f>S284</f>
        <v>230271.21599999996</v>
      </c>
      <c r="J301" s="69">
        <f>I301/1000</f>
        <v>230.27121599999995</v>
      </c>
      <c r="K301" s="112">
        <f>IF(D301=0,"",I301/D301)</f>
        <v>0.69999999999999984</v>
      </c>
      <c r="M301" s="69">
        <f>Y284</f>
        <v>0</v>
      </c>
      <c r="N301" s="69">
        <f>M301/1000</f>
        <v>0</v>
      </c>
      <c r="O301" s="71">
        <f>IF($D301=0,"",M301/$D301)</f>
        <v>0</v>
      </c>
      <c r="P301" s="72">
        <f>E301-N301</f>
        <v>328.95888000000002</v>
      </c>
    </row>
    <row r="302" spans="1:16" s="64" customFormat="1" ht="12">
      <c r="C302" s="52" t="s">
        <v>11</v>
      </c>
      <c r="D302" s="54">
        <f>SUM(D298:D301)</f>
        <v>490436.16000000003</v>
      </c>
      <c r="E302" s="54">
        <f>SUM(E298:E301)</f>
        <v>490.43616000000003</v>
      </c>
      <c r="F302" s="77">
        <f>SUM(F298:F301)</f>
        <v>1</v>
      </c>
      <c r="H302" s="12"/>
      <c r="I302" s="51">
        <f>SUM(I298:I301)</f>
        <v>325969.51199999993</v>
      </c>
      <c r="J302" s="54">
        <f>SUM(J298:J301)</f>
        <v>325.96951199999995</v>
      </c>
      <c r="K302" s="75">
        <f>IF(D302=0,"",I302/D302)</f>
        <v>0.66465228012551092</v>
      </c>
      <c r="L302" s="12"/>
      <c r="M302" s="51">
        <f>SUM(M298:M301)</f>
        <v>0</v>
      </c>
      <c r="N302" s="51">
        <f>SUM(N298:N301)</f>
        <v>0</v>
      </c>
      <c r="O302" s="77">
        <f>IF($D302=0,"",M302/$D302)</f>
        <v>0</v>
      </c>
      <c r="P302" s="51">
        <f>SUM(P298:P301)</f>
        <v>490.43616000000003</v>
      </c>
    </row>
    <row r="303" spans="1:16" s="64" customFormat="1" ht="12">
      <c r="G303" s="87"/>
      <c r="H303" s="87"/>
      <c r="J303" s="12"/>
      <c r="K303" s="63"/>
      <c r="L303" s="76"/>
      <c r="N303" s="87"/>
    </row>
    <row r="304" spans="1:16" s="64" customFormat="1" ht="12">
      <c r="G304" s="87"/>
      <c r="H304" s="87"/>
      <c r="J304" s="12"/>
      <c r="K304" s="63"/>
      <c r="L304" s="76"/>
      <c r="N304" s="87"/>
    </row>
    <row r="305" spans="4:31" s="64" customFormat="1" ht="12">
      <c r="G305" s="87"/>
      <c r="H305" s="87"/>
      <c r="J305" s="12"/>
      <c r="K305" s="63"/>
      <c r="L305" s="76"/>
      <c r="N305" s="87"/>
    </row>
    <row r="306" spans="4:31" s="64" customFormat="1" ht="12">
      <c r="G306" s="87"/>
      <c r="H306" s="87"/>
      <c r="J306" s="12"/>
      <c r="K306" s="63"/>
      <c r="L306" s="76"/>
      <c r="N306" s="87"/>
    </row>
    <row r="307" spans="4:31" s="7" customFormat="1">
      <c r="G307" s="11"/>
      <c r="K307" s="11"/>
      <c r="N307" s="11"/>
    </row>
    <row r="308" spans="4:31" s="7" customFormat="1">
      <c r="G308" s="137"/>
      <c r="K308" s="11"/>
      <c r="N308" s="11"/>
    </row>
    <row r="309" spans="4:31" s="7" customFormat="1">
      <c r="G309" s="11"/>
      <c r="K309" s="11"/>
      <c r="N309" s="11"/>
    </row>
    <row r="310" spans="4:31" s="7" customFormat="1">
      <c r="G310" s="11"/>
      <c r="K310" s="11"/>
      <c r="N310" s="11"/>
    </row>
    <row r="311" spans="4:31" s="7" customFormat="1">
      <c r="D311" s="94"/>
      <c r="G311" s="11"/>
      <c r="K311" s="11"/>
      <c r="N311" s="11"/>
    </row>
    <row r="312" spans="4:31" s="7" customFormat="1">
      <c r="D312" s="94"/>
      <c r="G312" s="11"/>
      <c r="K312" s="11"/>
      <c r="N312" s="11"/>
    </row>
    <row r="313" spans="4:31" s="7" customFormat="1">
      <c r="D313" s="94"/>
      <c r="G313" s="11"/>
      <c r="K313" s="11"/>
      <c r="N313" s="11"/>
    </row>
    <row r="314" spans="4:31" s="7" customFormat="1">
      <c r="D314" s="94"/>
      <c r="G314" s="11"/>
      <c r="K314" s="11"/>
      <c r="N314" s="11"/>
    </row>
    <row r="315" spans="4:31" s="7" customFormat="1">
      <c r="D315" s="94"/>
      <c r="G315" s="11"/>
      <c r="K315" s="11"/>
      <c r="N315" s="11"/>
    </row>
    <row r="316" spans="4:31" s="7" customFormat="1">
      <c r="G316" s="11"/>
      <c r="K316" s="11"/>
      <c r="N316" s="11"/>
    </row>
    <row r="317" spans="4:31" s="7" customFormat="1">
      <c r="G317" s="11"/>
      <c r="K317" s="11"/>
      <c r="N317" s="11"/>
    </row>
    <row r="318" spans="4:31" s="7" customFormat="1">
      <c r="G318" s="11"/>
      <c r="K318" s="11"/>
      <c r="N318" s="11"/>
      <c r="AE318" s="95"/>
    </row>
    <row r="319" spans="4:31" s="7" customFormat="1">
      <c r="G319" s="11"/>
      <c r="K319" s="11"/>
      <c r="N319" s="11"/>
    </row>
    <row r="320" spans="4:31" s="7" customFormat="1">
      <c r="G320" s="11"/>
      <c r="K320" s="11"/>
      <c r="N320" s="11"/>
    </row>
    <row r="321" spans="7:25" s="7" customFormat="1">
      <c r="G321" s="11"/>
      <c r="K321" s="11"/>
      <c r="N321" s="11"/>
    </row>
    <row r="322" spans="7:25" s="7" customFormat="1">
      <c r="G322" s="11"/>
      <c r="K322" s="11"/>
      <c r="N322" s="11"/>
    </row>
    <row r="323" spans="7:25" s="7" customFormat="1">
      <c r="G323" s="11"/>
      <c r="K323" s="11"/>
      <c r="N323" s="11"/>
    </row>
    <row r="324" spans="7:25" s="7" customFormat="1">
      <c r="G324" s="11"/>
      <c r="K324" s="11"/>
      <c r="N324" s="11"/>
    </row>
    <row r="325" spans="7:25" s="7" customFormat="1">
      <c r="G325" s="11"/>
      <c r="K325" s="11"/>
      <c r="N325" s="11"/>
    </row>
    <row r="326" spans="7:25" s="7" customFormat="1">
      <c r="G326" s="11"/>
      <c r="K326" s="11"/>
      <c r="N326" s="11"/>
    </row>
    <row r="327" spans="7:25" s="7" customFormat="1">
      <c r="G327" s="11"/>
      <c r="K327" s="11"/>
      <c r="N327" s="11"/>
    </row>
    <row r="328" spans="7:25" s="7" customFormat="1">
      <c r="G328" s="11"/>
      <c r="K328" s="11"/>
      <c r="N328" s="11"/>
      <c r="Y328" s="95"/>
    </row>
    <row r="329" spans="7:25" s="7" customFormat="1">
      <c r="G329" s="11"/>
      <c r="K329" s="11"/>
      <c r="N329" s="11"/>
    </row>
    <row r="330" spans="7:25" s="7" customFormat="1">
      <c r="G330" s="11"/>
      <c r="K330" s="11"/>
      <c r="N330" s="11"/>
    </row>
    <row r="331" spans="7:25" s="7" customFormat="1">
      <c r="G331" s="11"/>
      <c r="K331" s="11"/>
      <c r="N331" s="11"/>
    </row>
    <row r="332" spans="7:25" s="7" customFormat="1">
      <c r="G332" s="11"/>
      <c r="K332" s="11"/>
      <c r="N332" s="11"/>
    </row>
    <row r="333" spans="7:25" s="7" customFormat="1">
      <c r="G333" s="11"/>
      <c r="K333" s="11"/>
      <c r="N333" s="11"/>
    </row>
    <row r="334" spans="7:25" s="7" customFormat="1">
      <c r="G334" s="11"/>
      <c r="K334" s="11"/>
      <c r="N334" s="11"/>
    </row>
    <row r="335" spans="7:25" s="7" customFormat="1">
      <c r="G335" s="11"/>
      <c r="K335" s="11"/>
      <c r="N335" s="11"/>
    </row>
    <row r="336" spans="7:25" s="7" customFormat="1">
      <c r="G336" s="11"/>
      <c r="K336" s="11"/>
      <c r="N336" s="11"/>
    </row>
    <row r="337" spans="3:20" s="7" customFormat="1">
      <c r="G337" s="11"/>
      <c r="K337" s="11"/>
      <c r="N337" s="11"/>
    </row>
    <row r="338" spans="3:20" s="7" customFormat="1">
      <c r="G338" s="11"/>
      <c r="K338" s="11"/>
      <c r="N338" s="11"/>
    </row>
    <row r="339" spans="3:20" s="7" customFormat="1" ht="12.75" customHeight="1">
      <c r="C339" s="20"/>
      <c r="D339" s="20"/>
      <c r="E339" s="20"/>
      <c r="F339" s="20"/>
      <c r="G339" s="11"/>
      <c r="H339" s="11"/>
      <c r="K339" s="11"/>
      <c r="N339" s="11"/>
    </row>
    <row r="340" spans="3:20" s="7" customFormat="1" ht="22.8">
      <c r="C340" s="626" t="s">
        <v>118</v>
      </c>
      <c r="D340" s="626"/>
      <c r="E340" s="626"/>
      <c r="F340" s="626"/>
      <c r="G340" s="626"/>
      <c r="H340" s="626"/>
      <c r="I340" s="626"/>
      <c r="J340" s="626"/>
      <c r="K340" s="626"/>
      <c r="L340" s="626"/>
      <c r="N340" s="11"/>
    </row>
    <row r="341" spans="3:20" s="7" customFormat="1" ht="12.75" customHeight="1">
      <c r="C341" s="20"/>
      <c r="D341" s="20"/>
      <c r="E341" s="20"/>
      <c r="F341" s="20"/>
      <c r="G341" s="11"/>
      <c r="H341" s="11"/>
      <c r="K341" s="11"/>
      <c r="N341" s="11"/>
    </row>
    <row r="342" spans="3:20" s="7" customFormat="1" ht="12.75" customHeight="1">
      <c r="C342" s="20"/>
      <c r="D342" s="20"/>
      <c r="E342" s="12" t="s">
        <v>313</v>
      </c>
      <c r="F342" s="20"/>
      <c r="G342" s="11"/>
      <c r="H342" s="11"/>
      <c r="K342" s="11"/>
      <c r="N342" s="11"/>
    </row>
    <row r="343" spans="3:20" s="7" customFormat="1" ht="12.75" customHeight="1">
      <c r="C343" s="20"/>
      <c r="D343" s="20"/>
      <c r="E343" s="20"/>
      <c r="F343" s="20"/>
      <c r="G343" s="11"/>
      <c r="K343" s="11"/>
      <c r="N343" s="11"/>
    </row>
    <row r="344" spans="3:20" s="7" customFormat="1" ht="12">
      <c r="C344" s="274" t="s">
        <v>147</v>
      </c>
      <c r="G344" s="63" t="s">
        <v>307</v>
      </c>
      <c r="I344" s="553" t="s">
        <v>61</v>
      </c>
      <c r="J344" s="553"/>
      <c r="K344" s="553"/>
      <c r="M344" s="553" t="s">
        <v>332</v>
      </c>
      <c r="N344" s="553"/>
      <c r="P344" s="12" t="s">
        <v>109</v>
      </c>
    </row>
    <row r="345" spans="3:20" s="7" customFormat="1" ht="12">
      <c r="C345" s="335" t="s">
        <v>99</v>
      </c>
      <c r="D345" s="228" t="s">
        <v>334</v>
      </c>
      <c r="E345" s="228" t="s">
        <v>335</v>
      </c>
      <c r="F345"/>
      <c r="G345" s="229" t="s">
        <v>232</v>
      </c>
      <c r="I345" s="228" t="s">
        <v>286</v>
      </c>
      <c r="J345" s="228" t="s">
        <v>287</v>
      </c>
      <c r="K345" s="229" t="s">
        <v>232</v>
      </c>
      <c r="M345" s="228" t="s">
        <v>288</v>
      </c>
      <c r="N345" s="229" t="s">
        <v>232</v>
      </c>
      <c r="P345" s="609" t="s">
        <v>165</v>
      </c>
      <c r="Q345" s="610"/>
      <c r="R345" s="610"/>
      <c r="S345" s="610"/>
      <c r="T345" s="611"/>
    </row>
    <row r="346" spans="3:20" s="7" customFormat="1" ht="12">
      <c r="C346" s="14" t="s">
        <v>169</v>
      </c>
      <c r="D346" s="517">
        <v>1.1319999999999999</v>
      </c>
      <c r="E346" s="336">
        <f>_xlfn.IFNA(VLOOKUP($C346,'Facteurs d''émission'!$D$2:$I$340,2,FALSE),"Non renseigné")</f>
        <v>2210</v>
      </c>
      <c r="F346"/>
      <c r="G346" s="3">
        <f t="shared" ref="G346:G356" si="111">D346*E346*(1+F346)</f>
        <v>2501.7199999999998</v>
      </c>
      <c r="I346" s="307">
        <f>_xlfn.IFNA(VLOOKUP($C346,'Facteurs d''émission'!$D$2:$I$340,4,FALSE),"Non présent dans la base")</f>
        <v>0.1</v>
      </c>
      <c r="J346" s="224"/>
      <c r="K346" s="19">
        <f t="shared" ref="K346:K356" si="112">G346*(1-(1-I346)*(1-J346))</f>
        <v>250.17199999999991</v>
      </c>
      <c r="L346" s="7" t="str">
        <f>IF(D346*COUNTA(J346)&gt;0,"ok","")</f>
        <v/>
      </c>
      <c r="M346" s="224"/>
      <c r="N346" s="51">
        <f t="shared" ref="N346:N356" si="113">G346*M346</f>
        <v>0</v>
      </c>
      <c r="P346" s="598"/>
      <c r="Q346" s="612"/>
      <c r="R346" s="612"/>
      <c r="S346" s="612"/>
      <c r="T346" s="613"/>
    </row>
    <row r="347" spans="3:20" s="7" customFormat="1" ht="12">
      <c r="C347" s="14" t="s">
        <v>170</v>
      </c>
      <c r="D347" s="517"/>
      <c r="E347" s="336">
        <f>_xlfn.IFNA(VLOOKUP($C347,'Facteurs d''émission'!$D$2:$I$340,2,FALSE),"Non renseigné")</f>
        <v>938</v>
      </c>
      <c r="F347"/>
      <c r="G347" s="3">
        <f t="shared" si="111"/>
        <v>0</v>
      </c>
      <c r="I347" s="307">
        <f>_xlfn.IFNA(VLOOKUP($C347,'Facteurs d''émission'!$D$2:$I$340,4,FALSE),"Non présent dans la base")</f>
        <v>0.1</v>
      </c>
      <c r="J347" s="224"/>
      <c r="K347" s="19">
        <f t="shared" si="112"/>
        <v>0</v>
      </c>
      <c r="L347" s="7" t="str">
        <f t="shared" ref="L347:L356" si="114">IF(D347*COUNTA(J347)&gt;0,"ok","")</f>
        <v/>
      </c>
      <c r="M347" s="224"/>
      <c r="N347" s="51">
        <f t="shared" si="113"/>
        <v>0</v>
      </c>
      <c r="P347" s="614"/>
      <c r="Q347" s="615"/>
      <c r="R347" s="615"/>
      <c r="S347" s="615"/>
      <c r="T347" s="616"/>
    </row>
    <row r="348" spans="3:20" s="7" customFormat="1" ht="12">
      <c r="C348" s="14" t="s">
        <v>171</v>
      </c>
      <c r="D348" s="517">
        <v>5.1999999999999998E-2</v>
      </c>
      <c r="E348" s="336">
        <f>_xlfn.IFNA(VLOOKUP($C348,'Facteurs d''émission'!$D$2:$I$340,2,FALSE),"Non renseigné")</f>
        <v>7800</v>
      </c>
      <c r="F348"/>
      <c r="G348" s="3">
        <f t="shared" si="111"/>
        <v>405.59999999999997</v>
      </c>
      <c r="I348" s="307">
        <f>_xlfn.IFNA(VLOOKUP($C348,'Facteurs d''émission'!$D$2:$I$340,4,FALSE),"Non présent dans la base")</f>
        <v>0.3</v>
      </c>
      <c r="J348" s="224"/>
      <c r="K348" s="19">
        <f t="shared" si="112"/>
        <v>121.68</v>
      </c>
      <c r="L348" s="7" t="str">
        <f t="shared" si="114"/>
        <v/>
      </c>
      <c r="M348" s="224"/>
      <c r="N348" s="51">
        <f t="shared" si="113"/>
        <v>0</v>
      </c>
      <c r="P348" s="614"/>
      <c r="Q348" s="615"/>
      <c r="R348" s="615"/>
      <c r="S348" s="615"/>
      <c r="T348" s="616"/>
    </row>
    <row r="349" spans="3:20" s="7" customFormat="1" ht="12">
      <c r="C349" s="14" t="s">
        <v>172</v>
      </c>
      <c r="D349" s="517">
        <v>0.189</v>
      </c>
      <c r="E349" s="336">
        <f>_xlfn.IFNA(VLOOKUP($C349,'Facteurs d''émission'!$D$2:$I$340,2,FALSE),"Non renseigné")</f>
        <v>562</v>
      </c>
      <c r="F349"/>
      <c r="G349" s="3">
        <f t="shared" si="111"/>
        <v>106.218</v>
      </c>
      <c r="I349" s="307">
        <f>_xlfn.IFNA(VLOOKUP($C349,'Facteurs d''émission'!$D$2:$I$340,4,FALSE),"Non présent dans la base")</f>
        <v>0.3</v>
      </c>
      <c r="J349" s="224"/>
      <c r="K349" s="19">
        <f t="shared" si="112"/>
        <v>31.865400000000005</v>
      </c>
      <c r="L349" s="7" t="str">
        <f t="shared" si="114"/>
        <v/>
      </c>
      <c r="M349" s="224"/>
      <c r="N349" s="51">
        <f t="shared" si="113"/>
        <v>0</v>
      </c>
      <c r="P349" s="614"/>
      <c r="Q349" s="615"/>
      <c r="R349" s="615"/>
      <c r="S349" s="615"/>
      <c r="T349" s="616"/>
    </row>
    <row r="350" spans="3:20" s="7" customFormat="1" ht="12">
      <c r="C350" s="14" t="s">
        <v>413</v>
      </c>
      <c r="D350" s="517"/>
      <c r="E350" s="336">
        <f>_xlfn.IFNA(VLOOKUP($C350,'Facteurs d''émission'!$D$2:$I$340,2,FALSE),"Non renseigné")</f>
        <v>1450</v>
      </c>
      <c r="F350"/>
      <c r="G350" s="3">
        <f t="shared" si="111"/>
        <v>0</v>
      </c>
      <c r="I350" s="307">
        <f>_xlfn.IFNA(VLOOKUP($C350,'Facteurs d''émission'!$D$2:$I$340,4,FALSE),"Non présent dans la base")</f>
        <v>0.5</v>
      </c>
      <c r="J350" s="224"/>
      <c r="K350" s="19">
        <f t="shared" si="112"/>
        <v>0</v>
      </c>
      <c r="L350" s="7" t="str">
        <f t="shared" si="114"/>
        <v/>
      </c>
      <c r="M350" s="224"/>
      <c r="N350" s="51">
        <f t="shared" si="113"/>
        <v>0</v>
      </c>
      <c r="P350" s="614"/>
      <c r="Q350" s="615"/>
      <c r="R350" s="615"/>
      <c r="S350" s="615"/>
      <c r="T350" s="616"/>
    </row>
    <row r="351" spans="3:20" s="7" customFormat="1" ht="12">
      <c r="C351" s="14" t="s">
        <v>414</v>
      </c>
      <c r="D351" s="517">
        <v>0.39</v>
      </c>
      <c r="E351" s="336">
        <f>_xlfn.IFNA(VLOOKUP($C351,'Facteurs d''émission'!$D$2:$I$340,2,FALSE),"Non renseigné")</f>
        <v>2930</v>
      </c>
      <c r="F351"/>
      <c r="G351" s="3">
        <f t="shared" si="111"/>
        <v>1142.7</v>
      </c>
      <c r="I351" s="307">
        <f>_xlfn.IFNA(VLOOKUP($C351,'Facteurs d''émission'!$D$2:$I$340,4,FALSE),"Non présent dans la base")</f>
        <v>0.3</v>
      </c>
      <c r="J351" s="224"/>
      <c r="K351" s="19">
        <f t="shared" si="112"/>
        <v>342.81000000000006</v>
      </c>
      <c r="L351" s="7" t="str">
        <f t="shared" si="114"/>
        <v/>
      </c>
      <c r="M351" s="224"/>
      <c r="N351" s="51">
        <f t="shared" si="113"/>
        <v>0</v>
      </c>
      <c r="P351" s="614"/>
      <c r="Q351" s="615"/>
      <c r="R351" s="615"/>
      <c r="S351" s="615"/>
      <c r="T351" s="616"/>
    </row>
    <row r="352" spans="3:20" s="7" customFormat="1" ht="12">
      <c r="C352" s="14" t="s">
        <v>412</v>
      </c>
      <c r="D352" s="517"/>
      <c r="E352" s="336">
        <f>_xlfn.IFNA(VLOOKUP($C352,'Facteurs d''émission'!$D$2:$I$340,2,FALSE),"Non renseigné")</f>
        <v>1300</v>
      </c>
      <c r="F352"/>
      <c r="G352" s="3">
        <f t="shared" si="111"/>
        <v>0</v>
      </c>
      <c r="I352" s="307">
        <f>_xlfn.IFNA(VLOOKUP($C352,'Facteurs d''émission'!$D$2:$I$340,4,FALSE),"Non présent dans la base")</f>
        <v>0.5</v>
      </c>
      <c r="J352" s="224"/>
      <c r="K352" s="19">
        <f t="shared" si="112"/>
        <v>0</v>
      </c>
      <c r="L352" s="7" t="str">
        <f t="shared" si="114"/>
        <v/>
      </c>
      <c r="M352" s="224"/>
      <c r="N352" s="51">
        <f t="shared" si="113"/>
        <v>0</v>
      </c>
      <c r="P352" s="614"/>
      <c r="Q352" s="615"/>
      <c r="R352" s="615"/>
      <c r="S352" s="615"/>
      <c r="T352" s="616"/>
    </row>
    <row r="353" spans="3:20" s="7" customFormat="1" ht="12">
      <c r="C353" s="14" t="s">
        <v>173</v>
      </c>
      <c r="D353" s="517"/>
      <c r="E353" s="336">
        <f>_xlfn.IFNA(VLOOKUP($C353,'Facteurs d''émission'!$D$2:$I$340,2,FALSE),"Non renseigné")</f>
        <v>2090</v>
      </c>
      <c r="F353"/>
      <c r="G353" s="3">
        <f t="shared" si="111"/>
        <v>0</v>
      </c>
      <c r="I353" s="307">
        <f>_xlfn.IFNA(VLOOKUP($C353,'Facteurs d''émission'!$D$2:$I$340,4,FALSE),"Non présent dans la base")</f>
        <v>0.3</v>
      </c>
      <c r="J353" s="224"/>
      <c r="K353" s="19">
        <f t="shared" si="112"/>
        <v>0</v>
      </c>
      <c r="L353" s="7" t="str">
        <f t="shared" si="114"/>
        <v/>
      </c>
      <c r="M353" s="224"/>
      <c r="N353" s="51">
        <f t="shared" si="113"/>
        <v>0</v>
      </c>
      <c r="P353" s="614"/>
      <c r="Q353" s="615"/>
      <c r="R353" s="615"/>
      <c r="S353" s="615"/>
      <c r="T353" s="616"/>
    </row>
    <row r="354" spans="3:20" s="7" customFormat="1" ht="12">
      <c r="C354" s="14" t="s">
        <v>306</v>
      </c>
      <c r="D354" s="517"/>
      <c r="E354" s="336">
        <f>_xlfn.IFNA(VLOOKUP($C354,'Facteurs d''émission'!$D$2:$I$340,2,FALSE),"Non renseigné")</f>
        <v>0</v>
      </c>
      <c r="F354"/>
      <c r="G354" s="3">
        <f t="shared" si="111"/>
        <v>0</v>
      </c>
      <c r="I354" s="307">
        <f>_xlfn.IFNA(VLOOKUP($C354,'Facteurs d''émission'!$D$2:$I$340,4,FALSE),"Non présent dans la base")</f>
        <v>0</v>
      </c>
      <c r="J354" s="224"/>
      <c r="K354" s="19">
        <f t="shared" si="112"/>
        <v>0</v>
      </c>
      <c r="L354" s="7" t="str">
        <f t="shared" si="114"/>
        <v/>
      </c>
      <c r="M354" s="224"/>
      <c r="N354" s="51">
        <f t="shared" si="113"/>
        <v>0</v>
      </c>
      <c r="P354" s="614"/>
      <c r="Q354" s="615"/>
      <c r="R354" s="615"/>
      <c r="S354" s="615"/>
      <c r="T354" s="616"/>
    </row>
    <row r="355" spans="3:20" s="7" customFormat="1" ht="12">
      <c r="C355" s="14" t="s">
        <v>306</v>
      </c>
      <c r="D355" s="517"/>
      <c r="E355" s="336">
        <f>_xlfn.IFNA(VLOOKUP($C355,'Facteurs d''émission'!$D$2:$I$340,2,FALSE),"Non renseigné")</f>
        <v>0</v>
      </c>
      <c r="F355"/>
      <c r="G355" s="3">
        <f t="shared" si="111"/>
        <v>0</v>
      </c>
      <c r="I355" s="307">
        <f>_xlfn.IFNA(VLOOKUP($C355,'Facteurs d''émission'!$D$2:$I$340,4,FALSE),"Non présent dans la base")</f>
        <v>0</v>
      </c>
      <c r="J355" s="224"/>
      <c r="K355" s="19">
        <f t="shared" si="112"/>
        <v>0</v>
      </c>
      <c r="L355" s="7" t="str">
        <f t="shared" si="114"/>
        <v/>
      </c>
      <c r="M355" s="224"/>
      <c r="N355" s="51">
        <f t="shared" si="113"/>
        <v>0</v>
      </c>
      <c r="P355" s="614"/>
      <c r="Q355" s="615"/>
      <c r="R355" s="615"/>
      <c r="S355" s="615"/>
      <c r="T355" s="616"/>
    </row>
    <row r="356" spans="3:20" s="7" customFormat="1" ht="12">
      <c r="C356" s="14" t="s">
        <v>306</v>
      </c>
      <c r="D356" s="517"/>
      <c r="E356" s="336">
        <f>_xlfn.IFNA(VLOOKUP($C356,'Facteurs d''émission'!$D$2:$I$340,2,FALSE),"Non renseigné")</f>
        <v>0</v>
      </c>
      <c r="F356"/>
      <c r="G356" s="3">
        <f t="shared" si="111"/>
        <v>0</v>
      </c>
      <c r="I356" s="307">
        <f>_xlfn.IFNA(VLOOKUP($C356,'Facteurs d''émission'!$D$2:$I$340,4,FALSE),"Non présent dans la base")</f>
        <v>0</v>
      </c>
      <c r="J356" s="224"/>
      <c r="K356" s="19">
        <f t="shared" si="112"/>
        <v>0</v>
      </c>
      <c r="L356" s="7" t="str">
        <f t="shared" si="114"/>
        <v/>
      </c>
      <c r="M356" s="224"/>
      <c r="N356" s="51">
        <f t="shared" si="113"/>
        <v>0</v>
      </c>
      <c r="P356" s="617"/>
      <c r="Q356" s="618"/>
      <c r="R356" s="618"/>
      <c r="S356" s="618"/>
      <c r="T356" s="619"/>
    </row>
    <row r="357" spans="3:20" s="7" customFormat="1" ht="12">
      <c r="C357" s="287" t="s">
        <v>25</v>
      </c>
      <c r="D357" s="516">
        <f>SUM(D346:D356)</f>
        <v>1.7629999999999999</v>
      </c>
      <c r="E357" s="14"/>
      <c r="F357"/>
      <c r="G357" s="51">
        <f>SUM(G346:G356)</f>
        <v>4156.2379999999994</v>
      </c>
      <c r="I357" s="570" t="str">
        <f>IF(COUNTA(D346:D356)&gt;COUNTIF(L346:L356,"ok"),"! Remplir une incertitude !","")</f>
        <v>! Remplir une incertitude !</v>
      </c>
      <c r="J357" s="628"/>
      <c r="K357" s="54">
        <f>SUM(K346:K356)</f>
        <v>746.52739999999994</v>
      </c>
      <c r="M357" s="55"/>
      <c r="N357" s="54">
        <f>SUM(N346:N356)</f>
        <v>0</v>
      </c>
      <c r="P357" s="595" t="str">
        <f>IF(N357&gt;0,IF(#REF!="","Attention: vous devez planifier une action afin de remplir votre objectif",""),"")</f>
        <v/>
      </c>
      <c r="Q357" s="596"/>
      <c r="R357" s="596"/>
      <c r="S357" s="596"/>
      <c r="T357" s="597"/>
    </row>
    <row r="358" spans="3:20" s="7" customFormat="1" ht="24.45" customHeight="1">
      <c r="C358" s="12"/>
      <c r="G358" s="63"/>
      <c r="K358" s="63"/>
      <c r="N358" s="63"/>
      <c r="P358" s="9"/>
      <c r="Q358" s="9"/>
      <c r="R358" s="9"/>
      <c r="S358" s="9"/>
      <c r="T358" s="9"/>
    </row>
    <row r="359" spans="3:20" s="7" customFormat="1" ht="12">
      <c r="C359" s="12"/>
      <c r="E359" s="12" t="s">
        <v>314</v>
      </c>
      <c r="G359" s="63"/>
      <c r="K359" s="63"/>
      <c r="N359" s="63"/>
      <c r="P359" s="9"/>
      <c r="Q359" s="9"/>
      <c r="R359" s="9"/>
      <c r="S359" s="9"/>
      <c r="T359" s="9"/>
    </row>
    <row r="360" spans="3:20" s="7" customFormat="1">
      <c r="G360" s="11"/>
      <c r="J360" s="114"/>
      <c r="K360" s="11"/>
      <c r="N360" s="11"/>
    </row>
    <row r="361" spans="3:20" s="7" customFormat="1" ht="12">
      <c r="C361" s="274" t="s">
        <v>149</v>
      </c>
      <c r="G361" s="63" t="s">
        <v>307</v>
      </c>
      <c r="I361" s="553" t="s">
        <v>61</v>
      </c>
      <c r="J361" s="553"/>
      <c r="K361" s="553"/>
      <c r="M361" s="553" t="s">
        <v>332</v>
      </c>
      <c r="N361" s="553"/>
      <c r="P361" s="12" t="s">
        <v>109</v>
      </c>
    </row>
    <row r="362" spans="3:20" s="7" customFormat="1" ht="12">
      <c r="C362" s="228" t="s">
        <v>100</v>
      </c>
      <c r="D362" s="228" t="s">
        <v>334</v>
      </c>
      <c r="E362" s="228" t="s">
        <v>335</v>
      </c>
      <c r="F362"/>
      <c r="G362" s="229" t="s">
        <v>232</v>
      </c>
      <c r="I362" s="228" t="s">
        <v>286</v>
      </c>
      <c r="J362" s="228" t="s">
        <v>287</v>
      </c>
      <c r="K362" s="229" t="s">
        <v>232</v>
      </c>
      <c r="M362" s="228" t="s">
        <v>288</v>
      </c>
      <c r="N362" s="229" t="s">
        <v>232</v>
      </c>
      <c r="P362" s="609" t="s">
        <v>165</v>
      </c>
      <c r="Q362" s="610"/>
      <c r="R362" s="610"/>
      <c r="S362" s="610"/>
      <c r="T362" s="611"/>
    </row>
    <row r="363" spans="3:20" s="7" customFormat="1">
      <c r="C363" s="41" t="s">
        <v>415</v>
      </c>
      <c r="D363" s="340"/>
      <c r="E363" s="336">
        <f>_xlfn.IFNA(VLOOKUP($C363,'Facteurs d''émission'!$D$2:$I$340,2,FALSE),"Non renseigné")</f>
        <v>2380</v>
      </c>
      <c r="F363"/>
      <c r="G363" s="3">
        <f>D363*E363*(1+F363)</f>
        <v>0</v>
      </c>
      <c r="I363" s="307">
        <f>_xlfn.IFNA(VLOOKUP($C363,'Facteurs d''émission'!$D$2:$I$340,4,FALSE),"Non présent dans la base")</f>
        <v>0.2</v>
      </c>
      <c r="J363" s="232"/>
      <c r="K363" s="341">
        <f>G363*(1-(1-I363)*(1-J363))</f>
        <v>0</v>
      </c>
      <c r="L363" s="7" t="str">
        <f>IF(D363*COUNTA(J363)&gt;0,"ok","")</f>
        <v/>
      </c>
      <c r="M363" s="232"/>
      <c r="N363" s="83">
        <f>G363*M363</f>
        <v>0</v>
      </c>
      <c r="P363" s="598"/>
      <c r="Q363" s="612"/>
      <c r="R363" s="612"/>
      <c r="S363" s="612"/>
      <c r="T363" s="613"/>
    </row>
    <row r="364" spans="3:20" s="7" customFormat="1">
      <c r="C364" s="41" t="s">
        <v>306</v>
      </c>
      <c r="D364" s="340"/>
      <c r="E364" s="336">
        <f>_xlfn.IFNA(VLOOKUP($C364,'Facteurs d''émission'!$D$2:$I$340,2,FALSE),"Non renseigné")</f>
        <v>0</v>
      </c>
      <c r="F364"/>
      <c r="G364" s="3">
        <f>D364*E364*(1+F364)</f>
        <v>0</v>
      </c>
      <c r="I364" s="307">
        <f>_xlfn.IFNA(VLOOKUP($C364,'Facteurs d''émission'!$D$2:$I$340,4,FALSE),"Non présent dans la base")</f>
        <v>0</v>
      </c>
      <c r="J364" s="232"/>
      <c r="K364" s="341">
        <f>G364*(1-(1-I364)*(1-J364))</f>
        <v>0</v>
      </c>
      <c r="L364" s="7" t="str">
        <f>IF(D364*COUNTA(J364)&gt;0,"ok","")</f>
        <v/>
      </c>
      <c r="M364" s="232"/>
      <c r="N364" s="83">
        <f>G364*M364</f>
        <v>0</v>
      </c>
      <c r="P364" s="614"/>
      <c r="Q364" s="615"/>
      <c r="R364" s="615"/>
      <c r="S364" s="615"/>
      <c r="T364" s="616"/>
    </row>
    <row r="365" spans="3:20" s="7" customFormat="1">
      <c r="C365" s="41" t="s">
        <v>306</v>
      </c>
      <c r="D365" s="340"/>
      <c r="E365" s="336">
        <f>_xlfn.IFNA(VLOOKUP($C365,'Facteurs d''émission'!$D$2:$I$340,2,FALSE),"Non renseigné")</f>
        <v>0</v>
      </c>
      <c r="F365"/>
      <c r="G365" s="3">
        <f>D365*E365*(1+F365)</f>
        <v>0</v>
      </c>
      <c r="I365" s="307">
        <f>_xlfn.IFNA(VLOOKUP($C365,'Facteurs d''émission'!$D$2:$I$340,4,FALSE),"Non présent dans la base")</f>
        <v>0</v>
      </c>
      <c r="J365" s="232"/>
      <c r="K365" s="341">
        <f>G365*(1-(1-I365)*(1-J365))</f>
        <v>0</v>
      </c>
      <c r="L365" s="7" t="str">
        <f>IF(D365*COUNTA(J365)&gt;0,"ok","")</f>
        <v/>
      </c>
      <c r="M365" s="232"/>
      <c r="N365" s="83">
        <f>G365*M365</f>
        <v>0</v>
      </c>
      <c r="P365" s="614"/>
      <c r="Q365" s="615"/>
      <c r="R365" s="615"/>
      <c r="S365" s="615"/>
      <c r="T365" s="616"/>
    </row>
    <row r="366" spans="3:20" s="7" customFormat="1">
      <c r="C366" s="41" t="s">
        <v>306</v>
      </c>
      <c r="D366" s="340"/>
      <c r="E366" s="336">
        <f>_xlfn.IFNA(VLOOKUP($C366,'Facteurs d''émission'!$D$2:$I$340,2,FALSE),"Non renseigné")</f>
        <v>0</v>
      </c>
      <c r="F366"/>
      <c r="G366" s="3">
        <f>D366*E366*(1+F366)</f>
        <v>0</v>
      </c>
      <c r="I366" s="307">
        <f>_xlfn.IFNA(VLOOKUP($C366,'Facteurs d''émission'!$D$2:$I$340,4,FALSE),"Non présent dans la base")</f>
        <v>0</v>
      </c>
      <c r="J366" s="232"/>
      <c r="K366" s="341">
        <f>G366*(1-(1-I366)*(1-J366))</f>
        <v>0</v>
      </c>
      <c r="L366" s="7" t="str">
        <f>IF(D366*COUNTA(J366)&gt;0,"ok","")</f>
        <v/>
      </c>
      <c r="M366" s="232"/>
      <c r="N366" s="83">
        <f>G366*M366</f>
        <v>0</v>
      </c>
      <c r="P366" s="614"/>
      <c r="Q366" s="615"/>
      <c r="R366" s="615"/>
      <c r="S366" s="615"/>
      <c r="T366" s="616"/>
    </row>
    <row r="367" spans="3:20" s="7" customFormat="1">
      <c r="C367" s="41" t="s">
        <v>306</v>
      </c>
      <c r="D367" s="337"/>
      <c r="E367" s="336">
        <f>_xlfn.IFNA(VLOOKUP($C367,'Facteurs d''émission'!$D$2:$I$340,2,FALSE),"Non renseigné")</f>
        <v>0</v>
      </c>
      <c r="F367"/>
      <c r="G367" s="3">
        <f>D367*E367*(1+F367)</f>
        <v>0</v>
      </c>
      <c r="I367" s="307">
        <f>_xlfn.IFNA(VLOOKUP($C367,'Facteurs d''émission'!$D$2:$I$340,4,FALSE),"Non présent dans la base")</f>
        <v>0</v>
      </c>
      <c r="J367" s="232"/>
      <c r="K367" s="341">
        <f>G367*(1-(1-I367)*(1-J367))</f>
        <v>0</v>
      </c>
      <c r="L367" s="7" t="str">
        <f>IF(D367*COUNTA(J367)&gt;0,"ok","")</f>
        <v/>
      </c>
      <c r="M367" s="232"/>
      <c r="N367" s="83">
        <f>G367*M367</f>
        <v>0</v>
      </c>
      <c r="P367" s="617"/>
      <c r="Q367" s="618"/>
      <c r="R367" s="618"/>
      <c r="S367" s="618"/>
      <c r="T367" s="619"/>
    </row>
    <row r="368" spans="3:20" s="7" customFormat="1" ht="12">
      <c r="C368" s="287" t="s">
        <v>25</v>
      </c>
      <c r="D368" s="492">
        <f>SUM(D363:D367)</f>
        <v>0</v>
      </c>
      <c r="E368" s="14"/>
      <c r="F368"/>
      <c r="G368" s="51">
        <f>SUM(G363:G367)</f>
        <v>0</v>
      </c>
      <c r="I368" s="570" t="str">
        <f>IF(COUNTA(D367)&gt;COUNTIF(L367,"ok"),"! Remplir une incertitude !","")</f>
        <v/>
      </c>
      <c r="J368" s="628"/>
      <c r="K368" s="54">
        <f>SUM(K363:K367)</f>
        <v>0</v>
      </c>
      <c r="M368" s="84"/>
      <c r="N368" s="54">
        <f>SUM(N363:N367)</f>
        <v>0</v>
      </c>
      <c r="P368" s="595" t="str">
        <f>IF(N368&gt;0,IF(#REF!="","Attention: vous devez planifier une action afin de remplir votre objectif",""),"")</f>
        <v/>
      </c>
      <c r="Q368" s="596"/>
      <c r="R368" s="596"/>
      <c r="S368" s="596"/>
      <c r="T368" s="597"/>
    </row>
    <row r="369" spans="3:20" s="7" customFormat="1" ht="26.85" customHeight="1">
      <c r="F369"/>
      <c r="G369" s="11"/>
      <c r="K369" s="11"/>
      <c r="N369" s="11"/>
    </row>
    <row r="370" spans="3:20" s="7" customFormat="1" ht="12">
      <c r="E370" s="12" t="s">
        <v>316</v>
      </c>
      <c r="F370"/>
      <c r="G370" s="11"/>
      <c r="K370" s="11"/>
      <c r="N370" s="11"/>
    </row>
    <row r="371" spans="3:20" s="7" customFormat="1">
      <c r="F371"/>
      <c r="G371" s="11"/>
      <c r="K371" s="11"/>
      <c r="N371" s="11"/>
    </row>
    <row r="372" spans="3:20" s="7" customFormat="1" ht="12">
      <c r="C372" s="274" t="s">
        <v>148</v>
      </c>
      <c r="F372"/>
      <c r="G372" s="63" t="s">
        <v>307</v>
      </c>
      <c r="I372" s="553" t="s">
        <v>61</v>
      </c>
      <c r="J372" s="553"/>
      <c r="K372" s="553"/>
      <c r="M372" s="553" t="s">
        <v>332</v>
      </c>
      <c r="N372" s="553"/>
      <c r="P372" s="12" t="s">
        <v>109</v>
      </c>
    </row>
    <row r="373" spans="3:20" s="7" customFormat="1" ht="12">
      <c r="C373" s="228" t="s">
        <v>101</v>
      </c>
      <c r="D373" s="228" t="s">
        <v>334</v>
      </c>
      <c r="E373" s="228" t="s">
        <v>335</v>
      </c>
      <c r="F373"/>
      <c r="G373" s="229" t="s">
        <v>232</v>
      </c>
      <c r="I373" s="228" t="s">
        <v>286</v>
      </c>
      <c r="J373" s="228" t="s">
        <v>287</v>
      </c>
      <c r="K373" s="229" t="s">
        <v>232</v>
      </c>
      <c r="M373" s="228" t="s">
        <v>288</v>
      </c>
      <c r="N373" s="229" t="s">
        <v>232</v>
      </c>
      <c r="P373" s="609" t="s">
        <v>165</v>
      </c>
      <c r="Q373" s="610"/>
      <c r="R373" s="610"/>
      <c r="S373" s="610"/>
      <c r="T373" s="611"/>
    </row>
    <row r="374" spans="3:20" s="7" customFormat="1" ht="11.7" customHeight="1">
      <c r="C374" s="14" t="s">
        <v>197</v>
      </c>
      <c r="D374" s="338"/>
      <c r="E374" s="339">
        <f>_xlfn.IFNA(VLOOKUP($C374,'Facteurs d''émission'!$D$2:$I$340,2,FALSE),"Non renseigné")</f>
        <v>810</v>
      </c>
      <c r="F374"/>
      <c r="G374" s="3">
        <f>D374*E374*(1+F374)</f>
        <v>0</v>
      </c>
      <c r="I374" s="307">
        <f>_xlfn.IFNA(VLOOKUP($C374,'Facteurs d''émission'!$D$2:$I$340,4,FALSE),"Non présent dans la base")</f>
        <v>0.5</v>
      </c>
      <c r="J374" s="226"/>
      <c r="K374" s="19">
        <f t="shared" ref="K374:K378" si="115">G374*(1-(1-I374)*(1-J374))</f>
        <v>0</v>
      </c>
      <c r="L374" s="7" t="str">
        <f t="shared" ref="L374:L378" si="116">IF(D374*COUNTA(J374)&gt;0,"ok","")</f>
        <v/>
      </c>
      <c r="M374" s="226"/>
      <c r="N374" s="83">
        <f>G374*M374</f>
        <v>0</v>
      </c>
      <c r="P374" s="598" t="s">
        <v>275</v>
      </c>
      <c r="Q374" s="612"/>
      <c r="R374" s="612"/>
      <c r="S374" s="612"/>
      <c r="T374" s="613"/>
    </row>
    <row r="375" spans="3:20" s="7" customFormat="1">
      <c r="C375" s="14" t="s">
        <v>306</v>
      </c>
      <c r="D375" s="338"/>
      <c r="E375" s="339">
        <f>_xlfn.IFNA(VLOOKUP($C375,'Facteurs d''émission'!$D$2:$I$340,2,FALSE),"Non renseigné")</f>
        <v>0</v>
      </c>
      <c r="F375"/>
      <c r="G375" s="3">
        <f>D375*E375*(1+F375)</f>
        <v>0</v>
      </c>
      <c r="I375" s="307">
        <f>_xlfn.IFNA(VLOOKUP($C375,'Facteurs d''émission'!$D$2:$I$340,4,FALSE),"Non présent dans la base")</f>
        <v>0</v>
      </c>
      <c r="J375" s="226"/>
      <c r="K375" s="19">
        <f t="shared" si="115"/>
        <v>0</v>
      </c>
      <c r="L375" s="7" t="str">
        <f t="shared" si="116"/>
        <v/>
      </c>
      <c r="M375" s="226"/>
      <c r="N375" s="83">
        <f>G375*M375</f>
        <v>0</v>
      </c>
      <c r="P375" s="614"/>
      <c r="Q375" s="615"/>
      <c r="R375" s="615"/>
      <c r="S375" s="615"/>
      <c r="T375" s="616"/>
    </row>
    <row r="376" spans="3:20" s="7" customFormat="1">
      <c r="C376" s="14" t="s">
        <v>306</v>
      </c>
      <c r="D376" s="338"/>
      <c r="E376" s="339">
        <f>_xlfn.IFNA(VLOOKUP($C376,'Facteurs d''émission'!$D$2:$I$340,2,FALSE),"Non renseigné")</f>
        <v>0</v>
      </c>
      <c r="F376"/>
      <c r="G376" s="3">
        <f>D376*E376*(1+F376)</f>
        <v>0</v>
      </c>
      <c r="I376" s="307">
        <f>_xlfn.IFNA(VLOOKUP($C376,'Facteurs d''émission'!$D$2:$I$340,4,FALSE),"Non présent dans la base")</f>
        <v>0</v>
      </c>
      <c r="J376" s="226"/>
      <c r="K376" s="19">
        <f t="shared" si="115"/>
        <v>0</v>
      </c>
      <c r="L376" s="7" t="str">
        <f t="shared" si="116"/>
        <v/>
      </c>
      <c r="M376" s="226"/>
      <c r="N376" s="83">
        <f>G376*M376</f>
        <v>0</v>
      </c>
      <c r="P376" s="614"/>
      <c r="Q376" s="615"/>
      <c r="R376" s="615"/>
      <c r="S376" s="615"/>
      <c r="T376" s="616"/>
    </row>
    <row r="377" spans="3:20" s="7" customFormat="1">
      <c r="C377" s="14" t="s">
        <v>306</v>
      </c>
      <c r="D377" s="338"/>
      <c r="E377" s="339">
        <f>_xlfn.IFNA(VLOOKUP($C377,'Facteurs d''émission'!$D$2:$I$340,2,FALSE),"Non renseigné")</f>
        <v>0</v>
      </c>
      <c r="F377"/>
      <c r="G377" s="3">
        <f>D377*E377*(1+F377)</f>
        <v>0</v>
      </c>
      <c r="I377" s="307">
        <f>_xlfn.IFNA(VLOOKUP($C377,'Facteurs d''émission'!$D$2:$I$340,4,FALSE),"Non présent dans la base")</f>
        <v>0</v>
      </c>
      <c r="J377" s="226"/>
      <c r="K377" s="19">
        <f t="shared" si="115"/>
        <v>0</v>
      </c>
      <c r="L377" s="7" t="str">
        <f t="shared" si="116"/>
        <v/>
      </c>
      <c r="M377" s="226"/>
      <c r="N377" s="83">
        <f>G377*M377</f>
        <v>0</v>
      </c>
      <c r="P377" s="614"/>
      <c r="Q377" s="615"/>
      <c r="R377" s="615"/>
      <c r="S377" s="615"/>
      <c r="T377" s="616"/>
    </row>
    <row r="378" spans="3:20" s="7" customFormat="1">
      <c r="C378" s="1" t="s">
        <v>306</v>
      </c>
      <c r="D378" s="338"/>
      <c r="E378" s="339">
        <f>_xlfn.IFNA(VLOOKUP($C378,'Facteurs d''émission'!$D$2:$I$340,2,FALSE),"Non renseigné")</f>
        <v>0</v>
      </c>
      <c r="F378"/>
      <c r="G378" s="3">
        <f>IFERROR(D378*E378*(1+F378),0)</f>
        <v>0</v>
      </c>
      <c r="I378" s="307">
        <f>_xlfn.IFNA(VLOOKUP($C378,'Facteurs d''émission'!$D$2:$I$340,4,FALSE),"Non présent dans la base")</f>
        <v>0</v>
      </c>
      <c r="J378" s="226"/>
      <c r="K378" s="19">
        <f t="shared" si="115"/>
        <v>0</v>
      </c>
      <c r="L378" s="7" t="str">
        <f t="shared" si="116"/>
        <v/>
      </c>
      <c r="M378" s="226"/>
      <c r="N378" s="83">
        <f>G378*M378</f>
        <v>0</v>
      </c>
      <c r="P378" s="617"/>
      <c r="Q378" s="618"/>
      <c r="R378" s="618"/>
      <c r="S378" s="618"/>
      <c r="T378" s="619"/>
    </row>
    <row r="379" spans="3:20" s="7" customFormat="1" ht="12">
      <c r="C379" s="287" t="s">
        <v>25</v>
      </c>
      <c r="D379" s="492">
        <f>SUM(D375:D378)</f>
        <v>0</v>
      </c>
      <c r="E379" s="14"/>
      <c r="F379"/>
      <c r="G379" s="51">
        <f>SUM(G375:G378)</f>
        <v>0</v>
      </c>
      <c r="I379" s="570" t="str">
        <f>IF(COUNTA(D375:D378)&gt;COUNTIF(L375:L378,"ok"),"! Remplir une incertitude !","")</f>
        <v/>
      </c>
      <c r="J379" s="628"/>
      <c r="K379" s="54">
        <f>SUM(K375:K378)</f>
        <v>0</v>
      </c>
      <c r="M379" s="55"/>
      <c r="N379" s="54">
        <f>SUM(N375:N378)</f>
        <v>0</v>
      </c>
      <c r="P379" s="595" t="str">
        <f>IF(N379&gt;0,IF(P374="","Attention: vous devez planifier une action afin de remplir votre objectif",""),"")</f>
        <v/>
      </c>
      <c r="Q379" s="596"/>
      <c r="R379" s="596"/>
      <c r="S379" s="596"/>
      <c r="T379" s="597"/>
    </row>
    <row r="380" spans="3:20" s="7" customFormat="1" ht="25.35" customHeight="1">
      <c r="C380" s="20"/>
      <c r="D380" s="20"/>
      <c r="E380" s="20"/>
      <c r="F380"/>
      <c r="G380" s="11"/>
      <c r="H380" s="11"/>
      <c r="K380" s="11"/>
      <c r="N380" s="11"/>
    </row>
    <row r="381" spans="3:20" s="7" customFormat="1" ht="12.75" customHeight="1">
      <c r="C381" s="20"/>
      <c r="D381" s="20"/>
      <c r="E381" s="12" t="s">
        <v>315</v>
      </c>
      <c r="F381"/>
      <c r="G381" s="11"/>
      <c r="H381" s="11"/>
      <c r="K381" s="11"/>
      <c r="N381" s="11"/>
    </row>
    <row r="382" spans="3:20" s="7" customFormat="1" ht="12.75" customHeight="1">
      <c r="C382" s="20"/>
      <c r="D382" s="20"/>
      <c r="E382" s="20"/>
      <c r="F382"/>
      <c r="G382" s="11"/>
      <c r="H382" s="11"/>
      <c r="K382" s="11"/>
      <c r="N382" s="11"/>
    </row>
    <row r="383" spans="3:20" s="7" customFormat="1" ht="12">
      <c r="C383" s="274" t="s">
        <v>150</v>
      </c>
      <c r="F383"/>
      <c r="G383" s="63" t="s">
        <v>307</v>
      </c>
      <c r="I383" s="553" t="s">
        <v>61</v>
      </c>
      <c r="J383" s="553"/>
      <c r="K383" s="553"/>
      <c r="M383" s="553" t="s">
        <v>332</v>
      </c>
      <c r="N383" s="553"/>
    </row>
    <row r="384" spans="3:20" s="7" customFormat="1" ht="12">
      <c r="C384" s="228" t="s">
        <v>102</v>
      </c>
      <c r="D384" s="228" t="s">
        <v>334</v>
      </c>
      <c r="E384" s="228" t="s">
        <v>335</v>
      </c>
      <c r="F384"/>
      <c r="G384" s="229" t="s">
        <v>232</v>
      </c>
      <c r="I384" s="228" t="s">
        <v>286</v>
      </c>
      <c r="J384" s="228" t="s">
        <v>287</v>
      </c>
      <c r="K384" s="229" t="s">
        <v>232</v>
      </c>
      <c r="M384" s="228" t="s">
        <v>288</v>
      </c>
      <c r="N384" s="229" t="s">
        <v>232</v>
      </c>
      <c r="P384" s="12" t="s">
        <v>109</v>
      </c>
    </row>
    <row r="385" spans="3:20" s="7" customFormat="1" ht="11.7" customHeight="1">
      <c r="C385" s="14" t="s">
        <v>416</v>
      </c>
      <c r="D385" s="514"/>
      <c r="E385" s="336">
        <f>_xlfn.IFNA(VLOOKUP($C385,'Facteurs d''émission'!$D$2:$I$340,2,FALSE),"Non renseigné")</f>
        <v>390</v>
      </c>
      <c r="F385"/>
      <c r="G385" s="3">
        <f>D385*E385*(1+F385)</f>
        <v>0</v>
      </c>
      <c r="I385" s="307">
        <f>_xlfn.IFNA(VLOOKUP($C385,'Facteurs d''émission'!$D$2:$I$340,4,FALSE),"Non présent dans la base")</f>
        <v>0.2</v>
      </c>
      <c r="J385" s="224"/>
      <c r="K385" s="19">
        <f>G385*(1-(1-I385)*(1-J385))</f>
        <v>0</v>
      </c>
      <c r="L385" s="7" t="str">
        <f>IF(D385*COUNTA(J385)&gt;0,"ok","")</f>
        <v/>
      </c>
      <c r="M385" s="225"/>
      <c r="N385" s="3">
        <f>G385*M385</f>
        <v>0</v>
      </c>
      <c r="P385" s="598" t="s">
        <v>275</v>
      </c>
      <c r="Q385" s="612"/>
      <c r="R385" s="612"/>
      <c r="S385" s="612"/>
      <c r="T385" s="613"/>
    </row>
    <row r="386" spans="3:20" s="7" customFormat="1" ht="12">
      <c r="C386" s="14" t="s">
        <v>417</v>
      </c>
      <c r="D386" s="514">
        <v>19.958400000000001</v>
      </c>
      <c r="E386" s="336">
        <f>_xlfn.IFNA(VLOOKUP($C386,'Facteurs d''émission'!$D$2:$I$340,2,FALSE),"Non renseigné")</f>
        <v>920</v>
      </c>
      <c r="F386"/>
      <c r="G386" s="3">
        <f>D386*E386*(1+F386)</f>
        <v>18361.727999999999</v>
      </c>
      <c r="I386" s="307">
        <f>_xlfn.IFNA(VLOOKUP($C386,'Facteurs d''émission'!$D$2:$I$340,4,FALSE),"Non présent dans la base")</f>
        <v>0</v>
      </c>
      <c r="J386" s="224"/>
      <c r="K386" s="19">
        <f>G386*(1-(1-I386)*(1-J386))</f>
        <v>0</v>
      </c>
      <c r="L386" s="7" t="str">
        <f>IF(D386*COUNTA(J386)&gt;0,"ok","")</f>
        <v/>
      </c>
      <c r="M386" s="225"/>
      <c r="N386" s="3">
        <f>G386*M386</f>
        <v>0</v>
      </c>
      <c r="P386" s="614"/>
      <c r="Q386" s="615"/>
      <c r="R386" s="615"/>
      <c r="S386" s="615"/>
      <c r="T386" s="616"/>
    </row>
    <row r="387" spans="3:20" s="7" customFormat="1" ht="12">
      <c r="C387" s="14" t="s">
        <v>306</v>
      </c>
      <c r="D387" s="514"/>
      <c r="E387" s="336">
        <f>_xlfn.IFNA(VLOOKUP($C387,'Facteurs d''émission'!$D$2:$I$340,2,FALSE),"Non renseigné")</f>
        <v>0</v>
      </c>
      <c r="F387"/>
      <c r="G387" s="3">
        <f>D387*E387*(1+F387)</f>
        <v>0</v>
      </c>
      <c r="I387" s="307">
        <f>_xlfn.IFNA(VLOOKUP($C387,'Facteurs d''émission'!$D$2:$I$340,4,FALSE),"Non présent dans la base")</f>
        <v>0</v>
      </c>
      <c r="J387" s="224"/>
      <c r="K387" s="19">
        <f>G387*(1-(1-I387)*(1-J387))</f>
        <v>0</v>
      </c>
      <c r="L387" s="7" t="str">
        <f>IF(D387*COUNTA(J387)&gt;0,"ok","")</f>
        <v/>
      </c>
      <c r="M387" s="225"/>
      <c r="N387" s="3">
        <f>G387*M387</f>
        <v>0</v>
      </c>
      <c r="P387" s="614"/>
      <c r="Q387" s="615"/>
      <c r="R387" s="615"/>
      <c r="S387" s="615"/>
      <c r="T387" s="616"/>
    </row>
    <row r="388" spans="3:20" s="7" customFormat="1" ht="12">
      <c r="C388" s="14" t="s">
        <v>306</v>
      </c>
      <c r="D388" s="514"/>
      <c r="E388" s="336">
        <f>_xlfn.IFNA(VLOOKUP($C388,'Facteurs d''émission'!$D$2:$I$340,2,FALSE),"Non renseigné")</f>
        <v>0</v>
      </c>
      <c r="F388"/>
      <c r="G388" s="3">
        <f>D388*E388*(1+F388)</f>
        <v>0</v>
      </c>
      <c r="I388" s="307">
        <f>_xlfn.IFNA(VLOOKUP($C388,'Facteurs d''émission'!$D$2:$I$340,4,FALSE),"Non présent dans la base")</f>
        <v>0</v>
      </c>
      <c r="J388" s="224"/>
      <c r="K388" s="19">
        <f>G388*(1-(1-I388)*(1-J388))</f>
        <v>0</v>
      </c>
      <c r="L388" s="7" t="str">
        <f>IF(D388*COUNTA(J388)&gt;0,"ok","")</f>
        <v/>
      </c>
      <c r="M388" s="225"/>
      <c r="N388" s="3">
        <f>G388*M388</f>
        <v>0</v>
      </c>
      <c r="P388" s="614"/>
      <c r="Q388" s="615"/>
      <c r="R388" s="615"/>
      <c r="S388" s="615"/>
      <c r="T388" s="616"/>
    </row>
    <row r="389" spans="3:20" s="7" customFormat="1" ht="12">
      <c r="C389" s="14" t="s">
        <v>306</v>
      </c>
      <c r="D389" s="517"/>
      <c r="E389" s="336">
        <f>_xlfn.IFNA(VLOOKUP($C389,'Facteurs d''émission'!$D$2:$I$340,2,FALSE),"Non renseigné")</f>
        <v>0</v>
      </c>
      <c r="F389"/>
      <c r="G389" s="3">
        <f>D389*E389*(1+F389)</f>
        <v>0</v>
      </c>
      <c r="I389" s="307">
        <f>_xlfn.IFNA(VLOOKUP($C389,'Facteurs d''émission'!$D$2:$I$340,4,FALSE),"Non présent dans la base")</f>
        <v>0</v>
      </c>
      <c r="J389" s="223"/>
      <c r="K389" s="341">
        <f>G389*(1-(1-I389)*(1-J389))</f>
        <v>0</v>
      </c>
      <c r="L389" s="7" t="str">
        <f>IF(D389*COUNTA(J389)&gt;0,"ok","")</f>
        <v/>
      </c>
      <c r="M389" s="226"/>
      <c r="N389" s="83">
        <f>G389*M389</f>
        <v>0</v>
      </c>
      <c r="P389" s="617"/>
      <c r="Q389" s="618"/>
      <c r="R389" s="618"/>
      <c r="S389" s="618"/>
      <c r="T389" s="619"/>
    </row>
    <row r="390" spans="3:20" s="7" customFormat="1" ht="12">
      <c r="C390" s="287" t="s">
        <v>25</v>
      </c>
      <c r="D390" s="519">
        <f>SUM(D385:D389)</f>
        <v>19.958400000000001</v>
      </c>
      <c r="E390" s="14"/>
      <c r="F390"/>
      <c r="G390" s="51">
        <f>SUM(G385:G389)</f>
        <v>18361.727999999999</v>
      </c>
      <c r="I390" s="570" t="str">
        <f>IF(COUNTA(D385:D389)&gt;COUNTIF(L385:L389,"ok"),"! Remplir une incertitude !","")</f>
        <v>! Remplir une incertitude !</v>
      </c>
      <c r="J390" s="628"/>
      <c r="K390" s="54">
        <f>SUM(K385:K389)</f>
        <v>0</v>
      </c>
      <c r="M390" s="55"/>
      <c r="N390" s="54">
        <f>SUM(N385:N389)</f>
        <v>0</v>
      </c>
      <c r="P390" s="595" t="str">
        <f>IF(N390&gt;0,IF(P385="","Attention: vous devez planifier une action afin de remplir votre objectif",""),"")</f>
        <v/>
      </c>
      <c r="Q390" s="596"/>
      <c r="R390" s="596"/>
      <c r="S390" s="596"/>
      <c r="T390" s="597"/>
    </row>
    <row r="391" spans="3:20" s="7" customFormat="1" ht="26.4" customHeight="1">
      <c r="F391"/>
      <c r="G391" s="11"/>
      <c r="K391" s="11"/>
      <c r="N391" s="11"/>
    </row>
    <row r="392" spans="3:20" s="7" customFormat="1" ht="12">
      <c r="E392" s="12" t="s">
        <v>317</v>
      </c>
      <c r="F392"/>
      <c r="G392" s="11"/>
      <c r="K392" s="11"/>
      <c r="N392" s="11"/>
    </row>
    <row r="393" spans="3:20" s="7" customFormat="1">
      <c r="F393"/>
      <c r="G393" s="11"/>
      <c r="K393" s="11"/>
      <c r="N393" s="11"/>
    </row>
    <row r="394" spans="3:20" s="7" customFormat="1" ht="12.75" customHeight="1">
      <c r="C394" s="274" t="s">
        <v>151</v>
      </c>
      <c r="F394"/>
      <c r="G394" s="63" t="s">
        <v>307</v>
      </c>
      <c r="I394" s="553" t="s">
        <v>61</v>
      </c>
      <c r="J394" s="553"/>
      <c r="K394" s="553"/>
      <c r="M394" s="553" t="s">
        <v>332</v>
      </c>
      <c r="N394" s="553"/>
      <c r="P394" s="12" t="s">
        <v>109</v>
      </c>
    </row>
    <row r="395" spans="3:20" s="7" customFormat="1" ht="12">
      <c r="C395" s="228" t="s">
        <v>103</v>
      </c>
      <c r="D395" s="228" t="s">
        <v>334</v>
      </c>
      <c r="E395" s="228" t="s">
        <v>335</v>
      </c>
      <c r="F395"/>
      <c r="G395" s="229" t="s">
        <v>232</v>
      </c>
      <c r="I395" s="228" t="s">
        <v>286</v>
      </c>
      <c r="J395" s="228" t="s">
        <v>287</v>
      </c>
      <c r="K395" s="229" t="s">
        <v>232</v>
      </c>
      <c r="M395" s="228" t="s">
        <v>288</v>
      </c>
      <c r="N395" s="229" t="s">
        <v>232</v>
      </c>
      <c r="P395" s="609" t="s">
        <v>165</v>
      </c>
      <c r="Q395" s="610"/>
      <c r="R395" s="610"/>
      <c r="S395" s="610"/>
      <c r="T395" s="611"/>
    </row>
    <row r="396" spans="3:20" s="7" customFormat="1">
      <c r="C396" s="14" t="s">
        <v>198</v>
      </c>
      <c r="D396" s="221"/>
      <c r="E396" s="336">
        <f>_xlfn.IFNA(VLOOKUP($C396,'Facteurs d''émission'!$D$2:$I$340,2,FALSE),"Non renseigné")</f>
        <v>9100</v>
      </c>
      <c r="F396"/>
      <c r="G396" s="3">
        <f t="shared" ref="G396:G402" si="117">D396*E396*(1+F396)</f>
        <v>0</v>
      </c>
      <c r="I396" s="307">
        <f>_xlfn.IFNA(VLOOKUP($C396,'Facteurs d''émission'!$D$2:$I$340,4,FALSE),"Non présent dans la base")</f>
        <v>0.5</v>
      </c>
      <c r="J396" s="224"/>
      <c r="K396" s="3">
        <f t="shared" ref="K396:K402" si="118">G396*(1-(1-I396)*(1-J396))</f>
        <v>0</v>
      </c>
      <c r="L396" s="7" t="str">
        <f t="shared" ref="L396:L402" si="119">IF(D396*COUNTA(J396)&gt;0,"ok","")</f>
        <v/>
      </c>
      <c r="M396" s="225"/>
      <c r="N396" s="3">
        <f t="shared" ref="N396:N402" si="120">M396*D396*E396</f>
        <v>0</v>
      </c>
      <c r="P396" s="598"/>
      <c r="Q396" s="612"/>
      <c r="R396" s="612"/>
      <c r="S396" s="612"/>
      <c r="T396" s="613"/>
    </row>
    <row r="397" spans="3:20" s="7" customFormat="1">
      <c r="C397" s="14" t="s">
        <v>51</v>
      </c>
      <c r="D397" s="221"/>
      <c r="E397" s="336">
        <f>_xlfn.IFNA(VLOOKUP($C397,'Facteurs d''émission'!$D$2:$I$340,2,FALSE),"Non renseigné")</f>
        <v>587</v>
      </c>
      <c r="F397"/>
      <c r="G397" s="3">
        <f t="shared" si="117"/>
        <v>0</v>
      </c>
      <c r="I397" s="307">
        <f>_xlfn.IFNA(VLOOKUP($C397,'Facteurs d''émission'!$D$2:$I$340,4,FALSE),"Non présent dans la base")</f>
        <v>0.5</v>
      </c>
      <c r="J397" s="224"/>
      <c r="K397" s="3">
        <f t="shared" si="118"/>
        <v>0</v>
      </c>
      <c r="L397" s="7" t="str">
        <f t="shared" si="119"/>
        <v/>
      </c>
      <c r="M397" s="225"/>
      <c r="N397" s="3">
        <f t="shared" si="120"/>
        <v>0</v>
      </c>
      <c r="P397" s="614"/>
      <c r="Q397" s="615"/>
      <c r="R397" s="615"/>
      <c r="S397" s="615"/>
      <c r="T397" s="616"/>
    </row>
    <row r="398" spans="3:20" s="7" customFormat="1">
      <c r="C398" s="14" t="s">
        <v>72</v>
      </c>
      <c r="D398" s="221"/>
      <c r="E398" s="336">
        <f>_xlfn.IFNA(VLOOKUP($C398,'Facteurs d''émission'!$D$2:$I$340,2,FALSE),"Non renseigné")</f>
        <v>148</v>
      </c>
      <c r="F398"/>
      <c r="G398" s="3">
        <f t="shared" si="117"/>
        <v>0</v>
      </c>
      <c r="I398" s="307">
        <f>_xlfn.IFNA(VLOOKUP($C398,'Facteurs d''émission'!$D$2:$I$340,4,FALSE),"Non présent dans la base")</f>
        <v>0.5</v>
      </c>
      <c r="J398" s="224"/>
      <c r="K398" s="3">
        <f t="shared" si="118"/>
        <v>0</v>
      </c>
      <c r="L398" s="7" t="str">
        <f t="shared" si="119"/>
        <v/>
      </c>
      <c r="M398" s="225"/>
      <c r="N398" s="3">
        <f t="shared" si="120"/>
        <v>0</v>
      </c>
      <c r="P398" s="614"/>
      <c r="Q398" s="615"/>
      <c r="R398" s="615"/>
      <c r="S398" s="615"/>
      <c r="T398" s="616"/>
    </row>
    <row r="399" spans="3:20" s="7" customFormat="1">
      <c r="C399" s="14" t="s">
        <v>199</v>
      </c>
      <c r="D399" s="221"/>
      <c r="E399" s="336">
        <f>_xlfn.IFNA(VLOOKUP($C399,'Facteurs d''émission'!$D$2:$I$340,2,FALSE),"Non renseigné")</f>
        <v>1200</v>
      </c>
      <c r="F399"/>
      <c r="G399" s="3">
        <f t="shared" si="117"/>
        <v>0</v>
      </c>
      <c r="I399" s="307">
        <f>_xlfn.IFNA(VLOOKUP($C399,'Facteurs d''émission'!$D$2:$I$340,4,FALSE),"Non présent dans la base")</f>
        <v>0.5</v>
      </c>
      <c r="J399" s="224"/>
      <c r="K399" s="3">
        <f t="shared" si="118"/>
        <v>0</v>
      </c>
      <c r="L399" s="7" t="str">
        <f t="shared" si="119"/>
        <v/>
      </c>
      <c r="M399" s="225"/>
      <c r="N399" s="3">
        <f t="shared" si="120"/>
        <v>0</v>
      </c>
      <c r="P399" s="614"/>
      <c r="Q399" s="615"/>
      <c r="R399" s="615"/>
      <c r="S399" s="615"/>
      <c r="T399" s="616"/>
    </row>
    <row r="400" spans="3:20" s="7" customFormat="1">
      <c r="C400" s="14" t="s">
        <v>306</v>
      </c>
      <c r="D400" s="221"/>
      <c r="E400" s="336">
        <f>_xlfn.IFNA(VLOOKUP($C400,'Facteurs d''émission'!$D$2:$I$340,2,FALSE),"Non renseigné")</f>
        <v>0</v>
      </c>
      <c r="F400"/>
      <c r="G400" s="3">
        <f t="shared" si="117"/>
        <v>0</v>
      </c>
      <c r="I400" s="307">
        <f>_xlfn.IFNA(VLOOKUP($C400,'Facteurs d''émission'!$D$2:$I$340,4,FALSE),"Non présent dans la base")</f>
        <v>0</v>
      </c>
      <c r="J400" s="224"/>
      <c r="K400" s="3">
        <f t="shared" si="118"/>
        <v>0</v>
      </c>
      <c r="L400" s="7" t="str">
        <f t="shared" si="119"/>
        <v/>
      </c>
      <c r="M400" s="225"/>
      <c r="N400" s="3">
        <f t="shared" si="120"/>
        <v>0</v>
      </c>
      <c r="P400" s="614"/>
      <c r="Q400" s="615"/>
      <c r="R400" s="615"/>
      <c r="S400" s="615"/>
      <c r="T400" s="616"/>
    </row>
    <row r="401" spans="3:20" s="7" customFormat="1">
      <c r="C401" s="14" t="s">
        <v>306</v>
      </c>
      <c r="D401" s="221"/>
      <c r="E401" s="336">
        <f>_xlfn.IFNA(VLOOKUP($C401,'Facteurs d''émission'!$D$2:$I$340,2,FALSE),"Non renseigné")</f>
        <v>0</v>
      </c>
      <c r="F401"/>
      <c r="G401" s="3">
        <f t="shared" si="117"/>
        <v>0</v>
      </c>
      <c r="I401" s="307">
        <f>_xlfn.IFNA(VLOOKUP($C401,'Facteurs d''émission'!$D$2:$I$340,4,FALSE),"Non présent dans la base")</f>
        <v>0</v>
      </c>
      <c r="J401" s="224"/>
      <c r="K401" s="3">
        <f t="shared" si="118"/>
        <v>0</v>
      </c>
      <c r="L401" s="7" t="str">
        <f t="shared" si="119"/>
        <v/>
      </c>
      <c r="M401" s="225"/>
      <c r="N401" s="3">
        <f t="shared" si="120"/>
        <v>0</v>
      </c>
      <c r="P401" s="614"/>
      <c r="Q401" s="615"/>
      <c r="R401" s="615"/>
      <c r="S401" s="615"/>
      <c r="T401" s="616"/>
    </row>
    <row r="402" spans="3:20" s="7" customFormat="1">
      <c r="C402" s="14" t="s">
        <v>306</v>
      </c>
      <c r="D402" s="221"/>
      <c r="E402" s="336">
        <f>_xlfn.IFNA(VLOOKUP($C402,'Facteurs d''émission'!$D$2:$I$340,2,FALSE),"Non renseigné")</f>
        <v>0</v>
      </c>
      <c r="F402"/>
      <c r="G402" s="3">
        <f t="shared" si="117"/>
        <v>0</v>
      </c>
      <c r="I402" s="307">
        <f>_xlfn.IFNA(VLOOKUP($C402,'Facteurs d''émission'!$D$2:$I$340,4,FALSE),"Non présent dans la base")</f>
        <v>0</v>
      </c>
      <c r="J402" s="223"/>
      <c r="K402" s="83">
        <f t="shared" si="118"/>
        <v>0</v>
      </c>
      <c r="L402" s="7" t="str">
        <f t="shared" si="119"/>
        <v/>
      </c>
      <c r="M402" s="226"/>
      <c r="N402" s="83">
        <f t="shared" si="120"/>
        <v>0</v>
      </c>
      <c r="P402" s="617"/>
      <c r="Q402" s="618"/>
      <c r="R402" s="618"/>
      <c r="S402" s="618"/>
      <c r="T402" s="619"/>
    </row>
    <row r="403" spans="3:20" s="7" customFormat="1" ht="12">
      <c r="C403" s="287" t="s">
        <v>25</v>
      </c>
      <c r="D403" s="14"/>
      <c r="E403" s="14"/>
      <c r="F403"/>
      <c r="G403" s="51">
        <f>SUM(G396:G402)</f>
        <v>0</v>
      </c>
      <c r="I403" s="570" t="str">
        <f>IF(COUNTA(D396:D402)&gt;COUNTIF(L396:L402,"ok"),"! Remplir une incertitude !","")</f>
        <v/>
      </c>
      <c r="J403" s="628"/>
      <c r="K403" s="54">
        <f>SUM(K396:K402)</f>
        <v>0</v>
      </c>
      <c r="M403" s="55"/>
      <c r="N403" s="54">
        <f>SUM(N396:N402)</f>
        <v>0</v>
      </c>
      <c r="P403" s="595" t="str">
        <f>IF(N403&gt;0,IF(#REF!="","Attention: vous devez planifier une action afin de remplir votre objectif",""),"")</f>
        <v/>
      </c>
      <c r="Q403" s="596"/>
      <c r="R403" s="596"/>
      <c r="S403" s="596"/>
      <c r="T403" s="597"/>
    </row>
    <row r="404" spans="3:20" s="7" customFormat="1" ht="27.45" customHeight="1">
      <c r="E404" s="11"/>
      <c r="F404"/>
      <c r="G404" s="10"/>
      <c r="H404" s="10"/>
      <c r="I404" s="10"/>
      <c r="J404" s="10"/>
      <c r="K404" s="11"/>
      <c r="N404" s="11"/>
    </row>
    <row r="405" spans="3:20" s="7" customFormat="1" ht="12">
      <c r="E405" s="12" t="s">
        <v>318</v>
      </c>
      <c r="F405"/>
      <c r="G405" s="10"/>
      <c r="H405" s="10"/>
      <c r="I405" s="10"/>
      <c r="J405" s="10"/>
      <c r="K405" s="11"/>
      <c r="N405" s="11"/>
    </row>
    <row r="406" spans="3:20" s="7" customFormat="1">
      <c r="E406" s="11"/>
      <c r="F406"/>
      <c r="G406" s="10"/>
      <c r="H406" s="10"/>
      <c r="I406" s="10"/>
      <c r="J406" s="10"/>
      <c r="K406" s="11"/>
      <c r="N406" s="11"/>
    </row>
    <row r="407" spans="3:20" s="7" customFormat="1" ht="12.75" customHeight="1">
      <c r="C407" s="274" t="s">
        <v>152</v>
      </c>
      <c r="F407"/>
      <c r="G407" s="63" t="s">
        <v>307</v>
      </c>
      <c r="I407" s="553" t="s">
        <v>61</v>
      </c>
      <c r="J407" s="553"/>
      <c r="K407" s="553"/>
      <c r="M407" s="553" t="s">
        <v>332</v>
      </c>
      <c r="N407" s="553"/>
      <c r="P407" s="12" t="s">
        <v>109</v>
      </c>
    </row>
    <row r="408" spans="3:20" s="7" customFormat="1" ht="12">
      <c r="C408" s="228" t="s">
        <v>116</v>
      </c>
      <c r="D408" s="228" t="s">
        <v>342</v>
      </c>
      <c r="E408" s="228" t="s">
        <v>343</v>
      </c>
      <c r="F408"/>
      <c r="G408" s="229" t="s">
        <v>232</v>
      </c>
      <c r="I408" s="228" t="s">
        <v>286</v>
      </c>
      <c r="J408" s="228" t="s">
        <v>287</v>
      </c>
      <c r="K408" s="229" t="s">
        <v>232</v>
      </c>
      <c r="M408" s="228" t="s">
        <v>288</v>
      </c>
      <c r="N408" s="229" t="s">
        <v>232</v>
      </c>
      <c r="P408" s="609" t="s">
        <v>165</v>
      </c>
      <c r="Q408" s="610"/>
      <c r="R408" s="610"/>
      <c r="S408" s="610"/>
      <c r="T408" s="611"/>
    </row>
    <row r="409" spans="3:20" s="7" customFormat="1" ht="12">
      <c r="C409" s="1" t="s">
        <v>336</v>
      </c>
      <c r="D409" s="520">
        <v>10</v>
      </c>
      <c r="E409" s="336">
        <f>_xlfn.IFNA(VLOOKUP($C409,'Facteurs d''émission'!$D$2:$I$340,2,FALSE),"Non renseigné")</f>
        <v>70</v>
      </c>
      <c r="F409"/>
      <c r="G409" s="3">
        <f t="shared" ref="G409:G417" si="121">D409*E409</f>
        <v>700</v>
      </c>
      <c r="I409" s="307">
        <f>_xlfn.IFNA(VLOOKUP($C409,'Facteurs d''émission'!$D$2:$I$340,4,FALSE),"Non présent dans la base")</f>
        <v>0.8</v>
      </c>
      <c r="J409" s="224"/>
      <c r="K409" s="3">
        <f t="shared" ref="K409:K417" si="122">G409*(1-(1-I409)*(1-J409))</f>
        <v>560</v>
      </c>
      <c r="L409" s="7" t="str">
        <f t="shared" ref="L409:L417" si="123">IF(D409*COUNTA(J409)&gt;0,"ok","")</f>
        <v/>
      </c>
      <c r="M409" s="225"/>
      <c r="N409" s="3">
        <f t="shared" ref="N409:N417" si="124">M409*D409*E409</f>
        <v>0</v>
      </c>
      <c r="P409" s="598"/>
      <c r="Q409" s="612"/>
      <c r="R409" s="612"/>
      <c r="S409" s="612"/>
      <c r="T409" s="613"/>
    </row>
    <row r="410" spans="3:20" s="7" customFormat="1" ht="12">
      <c r="C410" s="1" t="s">
        <v>337</v>
      </c>
      <c r="D410" s="521"/>
      <c r="E410" s="336">
        <f>_xlfn.IFNA(VLOOKUP($C410,'Facteurs d''émission'!$D$2:$I$340,2,FALSE),"Non renseigné")</f>
        <v>112</v>
      </c>
      <c r="F410"/>
      <c r="G410" s="3">
        <f t="shared" si="121"/>
        <v>0</v>
      </c>
      <c r="I410" s="307">
        <f>_xlfn.IFNA(VLOOKUP($C410,'Facteurs d''émission'!$D$2:$I$340,4,FALSE),"Non présent dans la base")</f>
        <v>0.8</v>
      </c>
      <c r="J410" s="224"/>
      <c r="K410" s="3">
        <f t="shared" si="122"/>
        <v>0</v>
      </c>
      <c r="L410" s="7" t="str">
        <f t="shared" si="123"/>
        <v/>
      </c>
      <c r="M410" s="225"/>
      <c r="N410" s="3">
        <f t="shared" si="124"/>
        <v>0</v>
      </c>
      <c r="P410" s="614"/>
      <c r="Q410" s="615"/>
      <c r="R410" s="615"/>
      <c r="S410" s="615"/>
      <c r="T410" s="616"/>
    </row>
    <row r="411" spans="3:20" s="7" customFormat="1" ht="12">
      <c r="C411" s="1" t="s">
        <v>420</v>
      </c>
      <c r="D411" s="521"/>
      <c r="E411" s="336">
        <f>_xlfn.IFNA(VLOOKUP($C411,'Facteurs d''émission'!$D$2:$I$340,2,FALSE),"Non renseigné")</f>
        <v>210</v>
      </c>
      <c r="F411"/>
      <c r="G411" s="3">
        <f t="shared" si="121"/>
        <v>0</v>
      </c>
      <c r="I411" s="307">
        <f>_xlfn.IFNA(VLOOKUP($C411,'Facteurs d''émission'!$D$2:$I$340,4,FALSE),"Non présent dans la base")</f>
        <v>0.8</v>
      </c>
      <c r="J411" s="224"/>
      <c r="K411" s="3">
        <f t="shared" si="122"/>
        <v>0</v>
      </c>
      <c r="L411" s="7" t="str">
        <f t="shared" si="123"/>
        <v/>
      </c>
      <c r="M411" s="225"/>
      <c r="N411" s="3">
        <f t="shared" si="124"/>
        <v>0</v>
      </c>
      <c r="P411" s="614"/>
      <c r="Q411" s="615"/>
      <c r="R411" s="615"/>
      <c r="S411" s="615"/>
      <c r="T411" s="616"/>
    </row>
    <row r="412" spans="3:20" s="7" customFormat="1" ht="12">
      <c r="C412" s="1" t="s">
        <v>419</v>
      </c>
      <c r="D412" s="521"/>
      <c r="E412" s="336">
        <f>_xlfn.IFNA(VLOOKUP($C412,'Facteurs d''émission'!$D$2:$I$340,2,FALSE),"Non renseigné")</f>
        <v>110</v>
      </c>
      <c r="F412"/>
      <c r="G412" s="3">
        <f t="shared" si="121"/>
        <v>0</v>
      </c>
      <c r="I412" s="307">
        <f>_xlfn.IFNA(VLOOKUP($C412,'Facteurs d''émission'!$D$2:$I$340,4,FALSE),"Non présent dans la base")</f>
        <v>0.8</v>
      </c>
      <c r="J412" s="224"/>
      <c r="K412" s="3">
        <f t="shared" si="122"/>
        <v>0</v>
      </c>
      <c r="L412" s="7" t="str">
        <f t="shared" si="123"/>
        <v/>
      </c>
      <c r="M412" s="225"/>
      <c r="N412" s="3">
        <f t="shared" si="124"/>
        <v>0</v>
      </c>
      <c r="P412" s="614"/>
      <c r="Q412" s="615"/>
      <c r="R412" s="615"/>
      <c r="S412" s="615"/>
      <c r="T412" s="616"/>
    </row>
    <row r="413" spans="3:20" s="7" customFormat="1" ht="12">
      <c r="C413" s="1" t="s">
        <v>339</v>
      </c>
      <c r="D413" s="521"/>
      <c r="E413" s="336">
        <f>_xlfn.IFNA(VLOOKUP($C413,'Facteurs d''émission'!$D$2:$I$340,2,FALSE),"Non renseigné")</f>
        <v>196</v>
      </c>
      <c r="F413"/>
      <c r="G413" s="3">
        <f t="shared" si="121"/>
        <v>0</v>
      </c>
      <c r="I413" s="307">
        <f>_xlfn.IFNA(VLOOKUP($C413,'Facteurs d''émission'!$D$2:$I$340,4,FALSE),"Non présent dans la base")</f>
        <v>0.8</v>
      </c>
      <c r="J413" s="224"/>
      <c r="K413" s="3">
        <f t="shared" si="122"/>
        <v>0</v>
      </c>
      <c r="L413" s="7" t="str">
        <f t="shared" si="123"/>
        <v/>
      </c>
      <c r="M413" s="225"/>
      <c r="N413" s="3">
        <f t="shared" si="124"/>
        <v>0</v>
      </c>
      <c r="P413" s="614"/>
      <c r="Q413" s="615"/>
      <c r="R413" s="615"/>
      <c r="S413" s="615"/>
      <c r="T413" s="616"/>
    </row>
    <row r="414" spans="3:20" s="7" customFormat="1" ht="12">
      <c r="C414" s="1" t="s">
        <v>340</v>
      </c>
      <c r="D414" s="521"/>
      <c r="E414" s="336">
        <f>_xlfn.IFNA(VLOOKUP($C414,'Facteurs d''émission'!$D$2:$I$340,2,FALSE),"Non renseigné")</f>
        <v>250</v>
      </c>
      <c r="F414"/>
      <c r="G414" s="3">
        <f t="shared" si="121"/>
        <v>0</v>
      </c>
      <c r="I414" s="307">
        <f>_xlfn.IFNA(VLOOKUP($C414,'Facteurs d''émission'!$D$2:$I$340,4,FALSE),"Non présent dans la base")</f>
        <v>0.8</v>
      </c>
      <c r="J414" s="224"/>
      <c r="K414" s="3">
        <f t="shared" si="122"/>
        <v>0</v>
      </c>
      <c r="L414" s="7" t="str">
        <f t="shared" si="123"/>
        <v/>
      </c>
      <c r="M414" s="225"/>
      <c r="N414" s="3">
        <f t="shared" si="124"/>
        <v>0</v>
      </c>
      <c r="P414" s="614"/>
      <c r="Q414" s="615"/>
      <c r="R414" s="615"/>
      <c r="S414" s="615"/>
      <c r="T414" s="616"/>
    </row>
    <row r="415" spans="3:20" s="7" customFormat="1" ht="12">
      <c r="C415" s="1" t="s">
        <v>456</v>
      </c>
      <c r="D415" s="521">
        <v>414</v>
      </c>
      <c r="E415" s="679">
        <f>_xlfn.IFNA(VLOOKUP($C415,'Facteurs d''émission'!$D$2:$I$340,2,FALSE),"Non renseigné")</f>
        <v>8.4</v>
      </c>
      <c r="F415" s="680"/>
      <c r="G415" s="3">
        <f t="shared" si="121"/>
        <v>3477.6000000000004</v>
      </c>
      <c r="I415" s="307">
        <f>_xlfn.IFNA(VLOOKUP($C415,'Facteurs d''émission'!$D$2:$I$340,4,FALSE),"Non présent dans la base")</f>
        <v>0</v>
      </c>
      <c r="J415" s="224"/>
      <c r="K415" s="3">
        <f t="shared" si="122"/>
        <v>0</v>
      </c>
      <c r="L415" s="7" t="str">
        <f t="shared" si="123"/>
        <v/>
      </c>
      <c r="M415" s="225"/>
      <c r="N415" s="3">
        <f t="shared" si="124"/>
        <v>0</v>
      </c>
      <c r="P415" s="614"/>
      <c r="Q415" s="615"/>
      <c r="R415" s="615"/>
      <c r="S415" s="615"/>
      <c r="T415" s="616"/>
    </row>
    <row r="416" spans="3:20" s="7" customFormat="1" ht="12">
      <c r="C416" s="1" t="s">
        <v>457</v>
      </c>
      <c r="D416" s="521">
        <v>69</v>
      </c>
      <c r="E416" s="679">
        <f>_xlfn.IFNA(VLOOKUP($C416,'Facteurs d''émission'!$D$2:$I$340,2,FALSE),"Non renseigné")</f>
        <v>29.1</v>
      </c>
      <c r="F416" s="680"/>
      <c r="G416" s="3">
        <f t="shared" si="121"/>
        <v>2007.9</v>
      </c>
      <c r="I416" s="307">
        <f>_xlfn.IFNA(VLOOKUP($C416,'Facteurs d''émission'!$D$2:$I$340,4,FALSE),"Non présent dans la base")</f>
        <v>0</v>
      </c>
      <c r="J416" s="224"/>
      <c r="K416" s="3">
        <f t="shared" si="122"/>
        <v>0</v>
      </c>
      <c r="L416" s="7" t="str">
        <f t="shared" si="123"/>
        <v/>
      </c>
      <c r="M416" s="225"/>
      <c r="N416" s="3">
        <f t="shared" si="124"/>
        <v>0</v>
      </c>
      <c r="P416" s="614"/>
      <c r="Q416" s="615"/>
      <c r="R416" s="615"/>
      <c r="S416" s="615"/>
      <c r="T416" s="616"/>
    </row>
    <row r="417" spans="1:20" s="7" customFormat="1" ht="12">
      <c r="C417" s="1" t="s">
        <v>306</v>
      </c>
      <c r="D417" s="521"/>
      <c r="E417" s="336">
        <f>_xlfn.IFNA(VLOOKUP($C417,'Facteurs d''émission'!$D$2:$I$340,2,FALSE),"Non renseigné")</f>
        <v>0</v>
      </c>
      <c r="F417"/>
      <c r="G417" s="3">
        <f t="shared" si="121"/>
        <v>0</v>
      </c>
      <c r="I417" s="307">
        <f>_xlfn.IFNA(VLOOKUP($C417,'Facteurs d''émission'!$D$2:$I$340,4,FALSE),"Non présent dans la base")</f>
        <v>0</v>
      </c>
      <c r="J417" s="224"/>
      <c r="K417" s="3">
        <f t="shared" si="122"/>
        <v>0</v>
      </c>
      <c r="L417" s="7" t="str">
        <f t="shared" si="123"/>
        <v/>
      </c>
      <c r="M417" s="225"/>
      <c r="N417" s="3">
        <f t="shared" si="124"/>
        <v>0</v>
      </c>
      <c r="P417" s="617"/>
      <c r="Q417" s="618"/>
      <c r="R417" s="618"/>
      <c r="S417" s="618"/>
      <c r="T417" s="619"/>
    </row>
    <row r="418" spans="1:20" s="7" customFormat="1" ht="12">
      <c r="C418" s="287" t="s">
        <v>25</v>
      </c>
      <c r="D418" s="519">
        <f>SUM(D409:D417)</f>
        <v>493</v>
      </c>
      <c r="E418" s="14"/>
      <c r="F418"/>
      <c r="G418" s="51">
        <f>SUM(G409:G417)</f>
        <v>6185.5</v>
      </c>
      <c r="I418" s="570" t="str">
        <f>IF(COUNTA(D409:D417)&gt;COUNTIF(L409:L417,"ok"),"! Remplir une incertitude !","")</f>
        <v>! Remplir une incertitude !</v>
      </c>
      <c r="J418" s="628"/>
      <c r="K418" s="54">
        <f>SUM(K409:K417)</f>
        <v>560</v>
      </c>
      <c r="M418" s="55"/>
      <c r="N418" s="54">
        <f>SUM(N409:N417)</f>
        <v>0</v>
      </c>
      <c r="P418" s="595" t="str">
        <f>IF(N418&gt;0,IF(#REF!="","Attention: vous devez planifier une action afin de remplir votre objectif",""),"")</f>
        <v/>
      </c>
      <c r="Q418" s="596"/>
      <c r="R418" s="596"/>
      <c r="S418" s="596"/>
      <c r="T418" s="597"/>
    </row>
    <row r="419" spans="1:20" s="7" customFormat="1">
      <c r="G419" s="11"/>
      <c r="K419" s="11"/>
      <c r="N419" s="11"/>
    </row>
    <row r="420" spans="1:20" s="7" customFormat="1">
      <c r="G420" s="11"/>
      <c r="K420" s="11"/>
      <c r="N420" s="11"/>
    </row>
    <row r="421" spans="1:20" s="64" customFormat="1">
      <c r="G421" s="87"/>
      <c r="K421" s="87"/>
      <c r="N421" s="87"/>
    </row>
    <row r="422" spans="1:20" s="64" customFormat="1">
      <c r="G422" s="87"/>
      <c r="K422" s="87"/>
      <c r="N422" s="87"/>
    </row>
    <row r="423" spans="1:20" s="65" customFormat="1" ht="15.6">
      <c r="A423" s="64"/>
      <c r="B423" s="64"/>
      <c r="C423" s="642" t="s">
        <v>153</v>
      </c>
      <c r="D423" s="642"/>
      <c r="E423" s="642"/>
      <c r="F423" s="642"/>
      <c r="G423" s="642"/>
      <c r="H423" s="642"/>
      <c r="I423" s="642"/>
      <c r="J423" s="642"/>
      <c r="K423" s="642"/>
      <c r="L423" s="20"/>
      <c r="N423" s="111"/>
    </row>
    <row r="424" spans="1:20" s="65" customFormat="1">
      <c r="G424" s="111"/>
      <c r="K424" s="111"/>
      <c r="N424" s="111"/>
    </row>
    <row r="425" spans="1:20" s="64" customFormat="1" ht="12">
      <c r="A425" s="65"/>
      <c r="B425" s="65"/>
      <c r="C425" s="12" t="s">
        <v>134</v>
      </c>
      <c r="D425" s="12"/>
      <c r="E425" s="13" t="s">
        <v>19</v>
      </c>
      <c r="F425" s="13"/>
      <c r="G425" s="63"/>
      <c r="H425" s="12"/>
      <c r="I425" s="553" t="s">
        <v>61</v>
      </c>
      <c r="J425" s="553"/>
      <c r="K425" s="553"/>
      <c r="L425" s="12"/>
      <c r="M425" s="588" t="s">
        <v>111</v>
      </c>
      <c r="N425" s="573"/>
      <c r="O425" s="573"/>
      <c r="P425" s="13" t="s">
        <v>12</v>
      </c>
    </row>
    <row r="426" spans="1:20" s="65" customFormat="1">
      <c r="A426" s="64"/>
      <c r="B426" s="64"/>
      <c r="C426" s="332" t="s">
        <v>130</v>
      </c>
      <c r="D426" s="333" t="s">
        <v>232</v>
      </c>
      <c r="E426" s="333" t="s">
        <v>304</v>
      </c>
      <c r="F426" s="334" t="s">
        <v>66</v>
      </c>
      <c r="I426" s="333" t="s">
        <v>232</v>
      </c>
      <c r="J426" s="333" t="s">
        <v>304</v>
      </c>
      <c r="K426" s="333" t="s">
        <v>49</v>
      </c>
      <c r="M426" s="333" t="s">
        <v>232</v>
      </c>
      <c r="N426" s="334" t="s">
        <v>304</v>
      </c>
      <c r="O426" s="333" t="s">
        <v>48</v>
      </c>
      <c r="P426" s="333" t="s">
        <v>304</v>
      </c>
    </row>
    <row r="427" spans="1:20" s="65" customFormat="1">
      <c r="C427" s="67" t="s">
        <v>77</v>
      </c>
      <c r="D427" s="68">
        <f>G357</f>
        <v>4156.2379999999994</v>
      </c>
      <c r="E427" s="69">
        <f t="shared" ref="E427:E432" si="125">D427/1000</f>
        <v>4.1562379999999992</v>
      </c>
      <c r="F427" s="112">
        <f t="shared" ref="F427:F432" si="126">IF($E$433=0,"",E427/$E$433)</f>
        <v>0.14479916815620802</v>
      </c>
      <c r="I427" s="69">
        <f>K357</f>
        <v>746.52739999999994</v>
      </c>
      <c r="J427" s="69">
        <f t="shared" ref="J427:J432" si="127">I427/1000</f>
        <v>0.74652739999999995</v>
      </c>
      <c r="K427" s="112">
        <f t="shared" ref="K427:K433" si="128">IF(D427=0,"",I427/D427)</f>
        <v>0.17961613362853621</v>
      </c>
      <c r="M427" s="69">
        <f>N357</f>
        <v>0</v>
      </c>
      <c r="N427" s="69">
        <f t="shared" ref="N427:N432" si="129">M427/1000</f>
        <v>0</v>
      </c>
      <c r="O427" s="90">
        <f t="shared" ref="O427:O433" si="130">IF($D427=0,"",M427/$D427)</f>
        <v>0</v>
      </c>
      <c r="P427" s="72">
        <f t="shared" ref="P427:P432" si="131">E427-N427</f>
        <v>4.1562379999999992</v>
      </c>
    </row>
    <row r="428" spans="1:20" s="65" customFormat="1">
      <c r="C428" s="67" t="s">
        <v>78</v>
      </c>
      <c r="D428" s="68">
        <f>G368</f>
        <v>0</v>
      </c>
      <c r="E428" s="69">
        <f t="shared" si="125"/>
        <v>0</v>
      </c>
      <c r="F428" s="112">
        <f t="shared" si="126"/>
        <v>0</v>
      </c>
      <c r="I428" s="69">
        <f>K368</f>
        <v>0</v>
      </c>
      <c r="J428" s="69">
        <f t="shared" si="127"/>
        <v>0</v>
      </c>
      <c r="K428" s="112" t="str">
        <f t="shared" si="128"/>
        <v/>
      </c>
      <c r="M428" s="69">
        <f>N368</f>
        <v>0</v>
      </c>
      <c r="N428" s="69">
        <f t="shared" si="129"/>
        <v>0</v>
      </c>
      <c r="O428" s="90" t="str">
        <f t="shared" si="130"/>
        <v/>
      </c>
      <c r="P428" s="72">
        <f t="shared" si="131"/>
        <v>0</v>
      </c>
    </row>
    <row r="429" spans="1:20" s="65" customFormat="1">
      <c r="C429" s="67" t="s">
        <v>79</v>
      </c>
      <c r="D429" s="68">
        <f>G379</f>
        <v>0</v>
      </c>
      <c r="E429" s="69">
        <f t="shared" si="125"/>
        <v>0</v>
      </c>
      <c r="F429" s="112">
        <f t="shared" si="126"/>
        <v>0</v>
      </c>
      <c r="I429" s="69">
        <f>K379</f>
        <v>0</v>
      </c>
      <c r="J429" s="69">
        <f t="shared" si="127"/>
        <v>0</v>
      </c>
      <c r="K429" s="112" t="str">
        <f t="shared" si="128"/>
        <v/>
      </c>
      <c r="M429" s="69">
        <f>N379</f>
        <v>0</v>
      </c>
      <c r="N429" s="69">
        <f t="shared" si="129"/>
        <v>0</v>
      </c>
      <c r="O429" s="90" t="str">
        <f t="shared" si="130"/>
        <v/>
      </c>
      <c r="P429" s="72">
        <f t="shared" si="131"/>
        <v>0</v>
      </c>
    </row>
    <row r="430" spans="1:20" s="65" customFormat="1">
      <c r="C430" s="67" t="s">
        <v>154</v>
      </c>
      <c r="D430" s="68">
        <f>G390</f>
        <v>18361.727999999999</v>
      </c>
      <c r="E430" s="69">
        <f t="shared" si="125"/>
        <v>18.361727999999999</v>
      </c>
      <c r="F430" s="112">
        <f t="shared" si="126"/>
        <v>0.63970420854401344</v>
      </c>
      <c r="I430" s="69">
        <f>K390</f>
        <v>0</v>
      </c>
      <c r="J430" s="69">
        <f t="shared" si="127"/>
        <v>0</v>
      </c>
      <c r="K430" s="112">
        <f t="shared" si="128"/>
        <v>0</v>
      </c>
      <c r="M430" s="69">
        <f>N390</f>
        <v>0</v>
      </c>
      <c r="N430" s="69">
        <f t="shared" si="129"/>
        <v>0</v>
      </c>
      <c r="O430" s="90">
        <f t="shared" si="130"/>
        <v>0</v>
      </c>
      <c r="P430" s="72">
        <f t="shared" si="131"/>
        <v>18.361727999999999</v>
      </c>
    </row>
    <row r="431" spans="1:20" s="65" customFormat="1">
      <c r="C431" s="67" t="s">
        <v>76</v>
      </c>
      <c r="D431" s="68">
        <f>G403</f>
        <v>0</v>
      </c>
      <c r="E431" s="69">
        <f t="shared" si="125"/>
        <v>0</v>
      </c>
      <c r="F431" s="112">
        <f t="shared" si="126"/>
        <v>0</v>
      </c>
      <c r="I431" s="69">
        <f>K403</f>
        <v>0</v>
      </c>
      <c r="J431" s="69">
        <f t="shared" si="127"/>
        <v>0</v>
      </c>
      <c r="K431" s="112" t="str">
        <f t="shared" si="128"/>
        <v/>
      </c>
      <c r="M431" s="69">
        <f>N403</f>
        <v>0</v>
      </c>
      <c r="N431" s="69">
        <f t="shared" si="129"/>
        <v>0</v>
      </c>
      <c r="O431" s="90" t="str">
        <f t="shared" si="130"/>
        <v/>
      </c>
      <c r="P431" s="72">
        <f t="shared" si="131"/>
        <v>0</v>
      </c>
    </row>
    <row r="432" spans="1:20" s="65" customFormat="1">
      <c r="C432" s="73" t="s">
        <v>115</v>
      </c>
      <c r="D432" s="74">
        <f>G418</f>
        <v>6185.5</v>
      </c>
      <c r="E432" s="69">
        <f t="shared" si="125"/>
        <v>6.1855000000000002</v>
      </c>
      <c r="F432" s="112">
        <f t="shared" si="126"/>
        <v>0.21549662329977851</v>
      </c>
      <c r="I432" s="69">
        <f>K418</f>
        <v>560</v>
      </c>
      <c r="J432" s="69">
        <f t="shared" si="127"/>
        <v>0.56000000000000005</v>
      </c>
      <c r="K432" s="112">
        <f t="shared" si="128"/>
        <v>9.053431412173632E-2</v>
      </c>
      <c r="M432" s="69">
        <f>N418</f>
        <v>0</v>
      </c>
      <c r="N432" s="69">
        <f t="shared" si="129"/>
        <v>0</v>
      </c>
      <c r="O432" s="90">
        <f t="shared" si="130"/>
        <v>0</v>
      </c>
      <c r="P432" s="72">
        <f t="shared" si="131"/>
        <v>6.1855000000000002</v>
      </c>
    </row>
    <row r="433" spans="1:16" s="64" customFormat="1" ht="12">
      <c r="C433" s="52" t="s">
        <v>11</v>
      </c>
      <c r="D433" s="54">
        <f>SUM(D427:D432)</f>
        <v>28703.466</v>
      </c>
      <c r="E433" s="54">
        <f>SUM(E427:E432)</f>
        <v>28.703465999999999</v>
      </c>
      <c r="F433" s="77">
        <f>SUM(F427:F432)</f>
        <v>0.99999999999999989</v>
      </c>
      <c r="H433" s="12"/>
      <c r="I433" s="51">
        <f>SUM(I427:I432)</f>
        <v>1306.5273999999999</v>
      </c>
      <c r="J433" s="54">
        <f>SUM(J427:J432)</f>
        <v>1.3065274</v>
      </c>
      <c r="K433" s="75">
        <f t="shared" si="128"/>
        <v>4.551810572284197E-2</v>
      </c>
      <c r="L433" s="12"/>
      <c r="M433" s="51">
        <f>SUM(M427:M432)</f>
        <v>0</v>
      </c>
      <c r="N433" s="51">
        <f>SUM(N427:N432)</f>
        <v>0</v>
      </c>
      <c r="O433" s="75">
        <f t="shared" si="130"/>
        <v>0</v>
      </c>
      <c r="P433" s="51">
        <f>SUM(P427:P432)</f>
        <v>28.703465999999999</v>
      </c>
    </row>
    <row r="434" spans="1:16" s="64" customFormat="1" ht="12">
      <c r="A434" s="65"/>
      <c r="B434" s="65"/>
      <c r="C434" s="65"/>
      <c r="D434" s="65"/>
      <c r="E434" s="111"/>
      <c r="F434" s="115"/>
      <c r="G434" s="142"/>
      <c r="H434" s="65"/>
      <c r="I434" s="111"/>
      <c r="J434" s="65"/>
      <c r="K434" s="111"/>
      <c r="L434" s="12"/>
      <c r="N434" s="87"/>
    </row>
    <row r="435" spans="1:16" s="64" customFormat="1">
      <c r="D435" s="87"/>
      <c r="E435" s="116"/>
      <c r="G435" s="87"/>
      <c r="I435" s="87"/>
      <c r="J435" s="87"/>
      <c r="K435" s="87"/>
      <c r="L435" s="87"/>
      <c r="N435" s="87"/>
    </row>
    <row r="436" spans="1:16" s="64" customFormat="1">
      <c r="D436" s="87"/>
      <c r="E436" s="116"/>
      <c r="G436" s="87"/>
      <c r="I436" s="87"/>
      <c r="J436" s="87"/>
      <c r="K436" s="87"/>
      <c r="L436" s="87"/>
      <c r="N436" s="87"/>
    </row>
    <row r="437" spans="1:16" s="64" customFormat="1">
      <c r="D437" s="87"/>
      <c r="E437" s="116"/>
      <c r="G437" s="87"/>
      <c r="I437" s="87"/>
      <c r="J437" s="87"/>
      <c r="K437" s="87"/>
      <c r="L437" s="87"/>
      <c r="N437" s="87"/>
    </row>
    <row r="438" spans="1:16" s="7" customFormat="1">
      <c r="D438" s="11"/>
      <c r="G438" s="11"/>
      <c r="K438" s="11"/>
      <c r="N438" s="11"/>
    </row>
    <row r="439" spans="1:16" s="7" customFormat="1">
      <c r="D439" s="11"/>
      <c r="G439" s="11"/>
      <c r="K439" s="11"/>
      <c r="N439" s="11"/>
    </row>
    <row r="440" spans="1:16" s="7" customFormat="1">
      <c r="D440" s="11"/>
      <c r="G440" s="11"/>
      <c r="K440" s="11"/>
      <c r="N440" s="11"/>
    </row>
    <row r="441" spans="1:16" s="7" customFormat="1">
      <c r="G441" s="11"/>
      <c r="K441" s="11"/>
      <c r="N441" s="11"/>
    </row>
    <row r="442" spans="1:16" s="7" customFormat="1">
      <c r="G442" s="11"/>
      <c r="K442" s="11"/>
      <c r="N442" s="11"/>
    </row>
    <row r="443" spans="1:16" s="7" customFormat="1">
      <c r="G443" s="11"/>
      <c r="K443" s="11"/>
      <c r="N443" s="11"/>
    </row>
    <row r="444" spans="1:16" s="7" customFormat="1">
      <c r="G444" s="11"/>
      <c r="K444" s="11"/>
      <c r="N444" s="11"/>
    </row>
    <row r="445" spans="1:16" s="7" customFormat="1">
      <c r="G445" s="11"/>
      <c r="K445" s="11"/>
      <c r="N445" s="11"/>
    </row>
    <row r="446" spans="1:16" s="7" customFormat="1">
      <c r="G446" s="11"/>
      <c r="K446" s="11"/>
      <c r="N446" s="11"/>
    </row>
    <row r="447" spans="1:16" s="7" customFormat="1">
      <c r="G447" s="11"/>
      <c r="K447" s="11"/>
      <c r="N447" s="11"/>
    </row>
    <row r="448" spans="1:16" s="7" customFormat="1">
      <c r="G448" s="11"/>
      <c r="K448" s="11"/>
      <c r="N448" s="11"/>
    </row>
    <row r="449" spans="7:14" s="7" customFormat="1">
      <c r="G449" s="11"/>
      <c r="K449" s="11"/>
      <c r="N449" s="11"/>
    </row>
    <row r="450" spans="7:14" s="7" customFormat="1">
      <c r="G450" s="11"/>
      <c r="K450" s="11"/>
      <c r="N450" s="11"/>
    </row>
    <row r="451" spans="7:14" s="7" customFormat="1">
      <c r="G451" s="11"/>
      <c r="K451" s="11"/>
      <c r="N451" s="11"/>
    </row>
    <row r="452" spans="7:14" s="7" customFormat="1">
      <c r="G452" s="11"/>
      <c r="K452" s="11"/>
      <c r="N452" s="11"/>
    </row>
    <row r="453" spans="7:14" s="7" customFormat="1">
      <c r="G453" s="11"/>
      <c r="K453" s="11"/>
      <c r="N453" s="11"/>
    </row>
    <row r="454" spans="7:14" s="7" customFormat="1">
      <c r="G454" s="11"/>
      <c r="K454" s="11"/>
      <c r="N454" s="11"/>
    </row>
    <row r="455" spans="7:14" s="7" customFormat="1">
      <c r="G455" s="11"/>
      <c r="K455" s="11"/>
      <c r="N455" s="11"/>
    </row>
    <row r="456" spans="7:14" s="7" customFormat="1">
      <c r="G456" s="11"/>
      <c r="K456" s="11"/>
      <c r="N456" s="11"/>
    </row>
    <row r="457" spans="7:14" s="7" customFormat="1">
      <c r="G457" s="11"/>
      <c r="K457" s="11"/>
      <c r="N457" s="11"/>
    </row>
    <row r="458" spans="7:14" s="7" customFormat="1">
      <c r="G458" s="11"/>
      <c r="K458" s="11"/>
      <c r="N458" s="11"/>
    </row>
    <row r="459" spans="7:14" s="7" customFormat="1">
      <c r="G459" s="11"/>
      <c r="K459" s="11"/>
      <c r="N459" s="11"/>
    </row>
    <row r="460" spans="7:14" s="7" customFormat="1">
      <c r="G460" s="11"/>
      <c r="K460" s="11"/>
      <c r="N460" s="11"/>
    </row>
    <row r="461" spans="7:14" s="7" customFormat="1">
      <c r="G461" s="11"/>
      <c r="K461" s="11"/>
      <c r="N461" s="11"/>
    </row>
    <row r="462" spans="7:14" s="7" customFormat="1">
      <c r="G462" s="11"/>
      <c r="K462" s="11"/>
      <c r="N462" s="11"/>
    </row>
    <row r="463" spans="7:14" s="7" customFormat="1">
      <c r="G463" s="11"/>
      <c r="K463" s="11"/>
      <c r="N463" s="11"/>
    </row>
    <row r="464" spans="7:14" s="7" customFormat="1">
      <c r="G464" s="11"/>
      <c r="K464" s="11"/>
      <c r="N464" s="11"/>
    </row>
    <row r="465" spans="3:19" s="7" customFormat="1">
      <c r="G465" s="11"/>
      <c r="K465" s="11"/>
      <c r="N465" s="11"/>
    </row>
    <row r="466" spans="3:19" s="7" customFormat="1">
      <c r="G466" s="11"/>
      <c r="K466" s="11"/>
      <c r="N466" s="11"/>
    </row>
    <row r="467" spans="3:19" s="7" customFormat="1">
      <c r="G467" s="11"/>
      <c r="K467" s="11"/>
      <c r="N467" s="11"/>
    </row>
    <row r="468" spans="3:19" s="7" customFormat="1">
      <c r="G468" s="11"/>
      <c r="K468" s="11"/>
      <c r="N468" s="11"/>
    </row>
    <row r="469" spans="3:19" s="7" customFormat="1">
      <c r="D469" s="11"/>
      <c r="G469" s="11"/>
      <c r="K469" s="11"/>
      <c r="N469" s="11"/>
    </row>
    <row r="470" spans="3:19" s="7" customFormat="1">
      <c r="G470" s="11"/>
      <c r="K470" s="11"/>
      <c r="N470" s="11"/>
    </row>
    <row r="471" spans="3:19" s="7" customFormat="1" ht="22.8">
      <c r="C471" s="643" t="s">
        <v>83</v>
      </c>
      <c r="D471" s="643"/>
      <c r="E471" s="643"/>
      <c r="F471" s="643"/>
      <c r="G471" s="643"/>
      <c r="H471" s="643"/>
      <c r="I471" s="643"/>
      <c r="J471" s="643"/>
      <c r="K471" s="644"/>
      <c r="L471" s="644"/>
      <c r="N471" s="11"/>
    </row>
    <row r="472" spans="3:19" s="7" customFormat="1" ht="28.5" customHeight="1">
      <c r="G472" s="11"/>
      <c r="K472" s="11"/>
      <c r="N472" s="11"/>
    </row>
    <row r="473" spans="3:19" s="7" customFormat="1" ht="12">
      <c r="E473" s="12" t="s">
        <v>321</v>
      </c>
      <c r="G473" s="11"/>
      <c r="K473" s="11"/>
      <c r="N473" s="11"/>
    </row>
    <row r="474" spans="3:19" s="7" customFormat="1">
      <c r="G474" s="11"/>
      <c r="K474" s="11"/>
      <c r="N474" s="11"/>
    </row>
    <row r="475" spans="3:19" s="7" customFormat="1" ht="12">
      <c r="C475" s="273" t="s">
        <v>155</v>
      </c>
      <c r="F475" s="63" t="s">
        <v>307</v>
      </c>
      <c r="H475" s="42" t="s">
        <v>61</v>
      </c>
      <c r="I475" s="42"/>
      <c r="J475" s="42"/>
      <c r="K475" s="94"/>
      <c r="L475" s="62" t="s">
        <v>332</v>
      </c>
      <c r="M475" s="62"/>
      <c r="O475" s="12" t="s">
        <v>109</v>
      </c>
    </row>
    <row r="476" spans="3:19" s="7" customFormat="1" ht="12">
      <c r="C476" s="228" t="s">
        <v>104</v>
      </c>
      <c r="D476" s="228" t="s">
        <v>334</v>
      </c>
      <c r="E476" s="277" t="s">
        <v>232</v>
      </c>
      <c r="F476" s="229" t="s">
        <v>232</v>
      </c>
      <c r="H476" s="228" t="s">
        <v>286</v>
      </c>
      <c r="I476" s="228" t="s">
        <v>287</v>
      </c>
      <c r="J476" s="343" t="s">
        <v>232</v>
      </c>
      <c r="K476" s="94"/>
      <c r="L476" s="228" t="s">
        <v>288</v>
      </c>
      <c r="M476" s="343" t="s">
        <v>232</v>
      </c>
      <c r="O476" s="609" t="s">
        <v>165</v>
      </c>
      <c r="P476" s="610"/>
      <c r="Q476" s="610"/>
      <c r="R476" s="610"/>
      <c r="S476" s="611"/>
    </row>
    <row r="477" spans="3:19" s="7" customFormat="1">
      <c r="C477" s="14" t="s">
        <v>200</v>
      </c>
      <c r="D477" s="221"/>
      <c r="E477" s="308">
        <f>_xlfn.IFNA(VLOOKUP($C477,'Facteurs d''émission'!$D$2:$I$340,2,FALSE),"Non renseigné")</f>
        <v>1914</v>
      </c>
      <c r="F477" s="3">
        <f t="shared" ref="F477:F482" si="132">D477*E477</f>
        <v>0</v>
      </c>
      <c r="H477" s="307">
        <f>_xlfn.IFNA(VLOOKUP($C477,'Facteurs d''émission'!$D$2:$I$340,4,FALSE),"Non présent dans la base")</f>
        <v>0.5</v>
      </c>
      <c r="I477" s="224"/>
      <c r="J477" s="3">
        <f t="shared" ref="J477:J482" si="133">F477*(1-(1-H477)*(1-I477))</f>
        <v>0</v>
      </c>
      <c r="K477" s="7" t="str">
        <f t="shared" ref="K477:K482" si="134">IF(D477*COUNTA(I477)&gt;0,"ok","")</f>
        <v/>
      </c>
      <c r="L477" s="225"/>
      <c r="M477" s="3">
        <f t="shared" ref="M477:M482" si="135">L477*F477</f>
        <v>0</v>
      </c>
      <c r="O477" s="249"/>
      <c r="P477" s="250"/>
      <c r="Q477" s="250"/>
      <c r="R477" s="250"/>
      <c r="S477" s="251"/>
    </row>
    <row r="478" spans="3:19" s="7" customFormat="1">
      <c r="C478" s="14" t="s">
        <v>65</v>
      </c>
      <c r="D478" s="221"/>
      <c r="E478" s="308">
        <f>_xlfn.IFNA(VLOOKUP($C478,'Facteurs d''émission'!$D$2:$I$340,2,FALSE),"Non renseigné")</f>
        <v>3827</v>
      </c>
      <c r="F478" s="3">
        <f t="shared" si="132"/>
        <v>0</v>
      </c>
      <c r="H478" s="307">
        <f>_xlfn.IFNA(VLOOKUP($C478,'Facteurs d''émission'!$D$2:$I$340,4,FALSE),"Non présent dans la base")</f>
        <v>0.5</v>
      </c>
      <c r="I478" s="224"/>
      <c r="J478" s="3">
        <f t="shared" si="133"/>
        <v>0</v>
      </c>
      <c r="K478" s="7" t="str">
        <f t="shared" si="134"/>
        <v/>
      </c>
      <c r="L478" s="225"/>
      <c r="M478" s="3">
        <f t="shared" si="135"/>
        <v>0</v>
      </c>
      <c r="O478" s="249"/>
      <c r="P478" s="250"/>
      <c r="Q478" s="250"/>
      <c r="R478" s="250"/>
      <c r="S478" s="251"/>
    </row>
    <row r="479" spans="3:19" s="7" customFormat="1">
      <c r="C479" s="14" t="s">
        <v>202</v>
      </c>
      <c r="D479" s="221"/>
      <c r="E479" s="308">
        <f>_xlfn.IFNA(VLOOKUP($C479,'Facteurs d''émission'!$D$2:$I$340,2,FALSE),"Non renseigné")</f>
        <v>55000</v>
      </c>
      <c r="F479" s="3">
        <f t="shared" si="132"/>
        <v>0</v>
      </c>
      <c r="H479" s="307">
        <f>_xlfn.IFNA(VLOOKUP($C479,'Facteurs d''émission'!$D$2:$I$340,4,FALSE),"Non présent dans la base")</f>
        <v>0.3</v>
      </c>
      <c r="I479" s="224"/>
      <c r="J479" s="3">
        <f t="shared" si="133"/>
        <v>0</v>
      </c>
      <c r="K479" s="7" t="str">
        <f t="shared" si="134"/>
        <v/>
      </c>
      <c r="L479" s="225"/>
      <c r="M479" s="3">
        <f t="shared" si="135"/>
        <v>0</v>
      </c>
      <c r="O479" s="249"/>
      <c r="P479" s="250"/>
      <c r="Q479" s="250"/>
      <c r="R479" s="250"/>
      <c r="S479" s="251"/>
    </row>
    <row r="480" spans="3:19" s="7" customFormat="1">
      <c r="C480" s="14" t="s">
        <v>203</v>
      </c>
      <c r="D480" s="221"/>
      <c r="E480" s="308">
        <f>_xlfn.IFNA(VLOOKUP($C480,'Facteurs d''émission'!$D$2:$I$340,2,FALSE),"Non renseigné")</f>
        <v>7360</v>
      </c>
      <c r="F480" s="3">
        <f t="shared" si="132"/>
        <v>0</v>
      </c>
      <c r="H480" s="307">
        <f>_xlfn.IFNA(VLOOKUP($C480,'Facteurs d''émission'!$D$2:$I$340,4,FALSE),"Non présent dans la base")</f>
        <v>0.3</v>
      </c>
      <c r="I480" s="224"/>
      <c r="J480" s="3">
        <f t="shared" si="133"/>
        <v>0</v>
      </c>
      <c r="K480" s="7" t="str">
        <f t="shared" si="134"/>
        <v/>
      </c>
      <c r="L480" s="225"/>
      <c r="M480" s="3">
        <f t="shared" si="135"/>
        <v>0</v>
      </c>
      <c r="O480" s="249"/>
      <c r="P480" s="250"/>
      <c r="Q480" s="250"/>
      <c r="R480" s="250"/>
      <c r="S480" s="251"/>
    </row>
    <row r="481" spans="3:19" s="7" customFormat="1">
      <c r="C481" s="1" t="s">
        <v>264</v>
      </c>
      <c r="D481" s="221"/>
      <c r="E481" s="308">
        <f>_xlfn.IFNA(VLOOKUP($C481,'Facteurs d''émission'!$D$2:$I$340,2,FALSE),"Non renseigné")</f>
        <v>35800</v>
      </c>
      <c r="F481" s="3">
        <f t="shared" si="132"/>
        <v>0</v>
      </c>
      <c r="H481" s="307">
        <f>_xlfn.IFNA(VLOOKUP($C481,'Facteurs d''émission'!$D$2:$I$340,4,FALSE),"Non présent dans la base")</f>
        <v>0.3</v>
      </c>
      <c r="I481" s="224"/>
      <c r="J481" s="3">
        <f t="shared" si="133"/>
        <v>0</v>
      </c>
      <c r="K481" s="7" t="str">
        <f t="shared" si="134"/>
        <v/>
      </c>
      <c r="L481" s="225"/>
      <c r="M481" s="3">
        <f t="shared" si="135"/>
        <v>0</v>
      </c>
      <c r="O481" s="249"/>
      <c r="P481" s="250"/>
      <c r="Q481" s="250"/>
      <c r="R481" s="250"/>
      <c r="S481" s="251"/>
    </row>
    <row r="482" spans="3:19" s="7" customFormat="1">
      <c r="C482" s="14" t="s">
        <v>204</v>
      </c>
      <c r="D482" s="221"/>
      <c r="E482" s="308">
        <f>_xlfn.IFNA(VLOOKUP($C482,'Facteurs d''émission'!$D$2:$I$340,2,FALSE),"Non renseigné")</f>
        <v>20500</v>
      </c>
      <c r="F482" s="3">
        <f t="shared" si="132"/>
        <v>0</v>
      </c>
      <c r="H482" s="307">
        <f>_xlfn.IFNA(VLOOKUP($C482,'Facteurs d''émission'!$D$2:$I$340,4,FALSE),"Non présent dans la base")</f>
        <v>0.3</v>
      </c>
      <c r="I482" s="224"/>
      <c r="J482" s="3">
        <f t="shared" si="133"/>
        <v>0</v>
      </c>
      <c r="K482" s="7" t="str">
        <f t="shared" si="134"/>
        <v/>
      </c>
      <c r="L482" s="225"/>
      <c r="M482" s="3">
        <f t="shared" si="135"/>
        <v>0</v>
      </c>
      <c r="O482" s="249"/>
      <c r="P482" s="250"/>
      <c r="Q482" s="250"/>
      <c r="R482" s="250"/>
      <c r="S482" s="251"/>
    </row>
    <row r="483" spans="3:19" s="7" customFormat="1">
      <c r="C483" s="14" t="s">
        <v>205</v>
      </c>
      <c r="D483" s="221"/>
      <c r="E483" s="308">
        <f>_xlfn.IFNA(VLOOKUP($C483,'Facteurs d''émission'!$D$2:$I$340,2,FALSE),"Non renseigné")</f>
        <v>2029.9999999999998</v>
      </c>
      <c r="F483" s="3">
        <f t="shared" ref="F483:F489" si="136">D483*E483</f>
        <v>0</v>
      </c>
      <c r="H483" s="307">
        <f>_xlfn.IFNA(VLOOKUP($C483,'Facteurs d''émission'!$D$2:$I$340,4,FALSE),"Non présent dans la base")</f>
        <v>0.3</v>
      </c>
      <c r="I483" s="224"/>
      <c r="J483" s="3">
        <f t="shared" ref="J483:J489" si="137">F483*(1-(1-H483)*(1-I483))</f>
        <v>0</v>
      </c>
      <c r="K483" s="7" t="str">
        <f t="shared" ref="K483:K489" si="138">IF(D483*COUNTA(I483)&gt;0,"ok","")</f>
        <v/>
      </c>
      <c r="L483" s="225"/>
      <c r="M483" s="3">
        <f t="shared" ref="M483:M489" si="139">L483*F483</f>
        <v>0</v>
      </c>
      <c r="O483" s="249"/>
      <c r="P483" s="250"/>
      <c r="Q483" s="250"/>
      <c r="R483" s="250"/>
      <c r="S483" s="251"/>
    </row>
    <row r="484" spans="3:19" s="7" customFormat="1">
      <c r="C484" s="14" t="s">
        <v>306</v>
      </c>
      <c r="D484" s="221"/>
      <c r="E484" s="308">
        <f>_xlfn.IFNA(VLOOKUP($C484,'Facteurs d''émission'!$D$2:$I$340,2,FALSE),"Non renseigné")</f>
        <v>0</v>
      </c>
      <c r="F484" s="3">
        <f t="shared" si="136"/>
        <v>0</v>
      </c>
      <c r="H484" s="307">
        <f>_xlfn.IFNA(VLOOKUP($C484,'Facteurs d''émission'!$D$2:$I$340,4,FALSE),"Non présent dans la base")</f>
        <v>0</v>
      </c>
      <c r="I484" s="224"/>
      <c r="J484" s="3">
        <f t="shared" si="137"/>
        <v>0</v>
      </c>
      <c r="K484" s="7" t="str">
        <f t="shared" si="138"/>
        <v/>
      </c>
      <c r="L484" s="225"/>
      <c r="M484" s="3">
        <f t="shared" si="139"/>
        <v>0</v>
      </c>
      <c r="O484" s="249"/>
      <c r="P484" s="250"/>
      <c r="Q484" s="250"/>
      <c r="R484" s="250"/>
      <c r="S484" s="251"/>
    </row>
    <row r="485" spans="3:19" s="7" customFormat="1">
      <c r="C485" s="14" t="s">
        <v>306</v>
      </c>
      <c r="D485" s="221"/>
      <c r="E485" s="308">
        <f>_xlfn.IFNA(VLOOKUP($C485,'Facteurs d''émission'!$D$2:$I$340,2,FALSE),"Non renseigné")</f>
        <v>0</v>
      </c>
      <c r="F485" s="3">
        <f t="shared" si="136"/>
        <v>0</v>
      </c>
      <c r="H485" s="307">
        <f>_xlfn.IFNA(VLOOKUP($C485,'Facteurs d''émission'!$D$2:$I$340,4,FALSE),"Non présent dans la base")</f>
        <v>0</v>
      </c>
      <c r="I485" s="224"/>
      <c r="J485" s="3">
        <f t="shared" si="137"/>
        <v>0</v>
      </c>
      <c r="K485" s="7" t="str">
        <f t="shared" si="138"/>
        <v/>
      </c>
      <c r="L485" s="225"/>
      <c r="M485" s="3">
        <f t="shared" si="139"/>
        <v>0</v>
      </c>
      <c r="O485" s="249"/>
      <c r="P485" s="250"/>
      <c r="Q485" s="250"/>
      <c r="R485" s="250"/>
      <c r="S485" s="251"/>
    </row>
    <row r="486" spans="3:19" s="7" customFormat="1">
      <c r="C486" s="14" t="s">
        <v>306</v>
      </c>
      <c r="D486" s="221"/>
      <c r="E486" s="308">
        <f>_xlfn.IFNA(VLOOKUP($C486,'Facteurs d''émission'!$D$2:$I$340,2,FALSE),"Non renseigné")</f>
        <v>0</v>
      </c>
      <c r="F486" s="3">
        <f t="shared" si="136"/>
        <v>0</v>
      </c>
      <c r="H486" s="307">
        <f>_xlfn.IFNA(VLOOKUP($C486,'Facteurs d''émission'!$D$2:$I$340,4,FALSE),"Non présent dans la base")</f>
        <v>0</v>
      </c>
      <c r="I486" s="224"/>
      <c r="J486" s="3">
        <f t="shared" si="137"/>
        <v>0</v>
      </c>
      <c r="K486" s="7" t="str">
        <f t="shared" si="138"/>
        <v/>
      </c>
      <c r="L486" s="225"/>
      <c r="M486" s="3">
        <f t="shared" si="139"/>
        <v>0</v>
      </c>
      <c r="O486" s="249"/>
      <c r="P486" s="250"/>
      <c r="Q486" s="250"/>
      <c r="R486" s="250"/>
      <c r="S486" s="251"/>
    </row>
    <row r="487" spans="3:19" s="7" customFormat="1">
      <c r="C487" s="14" t="s">
        <v>306</v>
      </c>
      <c r="D487" s="221"/>
      <c r="E487" s="308">
        <f>_xlfn.IFNA(VLOOKUP($C487,'Facteurs d''émission'!$D$2:$I$340,2,FALSE),"Non renseigné")</f>
        <v>0</v>
      </c>
      <c r="F487" s="3">
        <f t="shared" si="136"/>
        <v>0</v>
      </c>
      <c r="H487" s="307">
        <f>_xlfn.IFNA(VLOOKUP($C487,'Facteurs d''émission'!$D$2:$I$340,4,FALSE),"Non présent dans la base")</f>
        <v>0</v>
      </c>
      <c r="I487" s="224"/>
      <c r="J487" s="3">
        <f t="shared" si="137"/>
        <v>0</v>
      </c>
      <c r="K487" s="7" t="str">
        <f t="shared" si="138"/>
        <v/>
      </c>
      <c r="L487" s="225"/>
      <c r="M487" s="3">
        <f t="shared" si="139"/>
        <v>0</v>
      </c>
      <c r="O487" s="249"/>
      <c r="P487" s="250"/>
      <c r="Q487" s="250"/>
      <c r="R487" s="250"/>
      <c r="S487" s="251"/>
    </row>
    <row r="488" spans="3:19" s="7" customFormat="1">
      <c r="C488" s="14" t="s">
        <v>306</v>
      </c>
      <c r="D488" s="221"/>
      <c r="E488" s="308">
        <f>_xlfn.IFNA(VLOOKUP($C488,'Facteurs d''émission'!$D$2:$I$340,2,FALSE),"Non renseigné")</f>
        <v>0</v>
      </c>
      <c r="F488" s="3">
        <f t="shared" si="136"/>
        <v>0</v>
      </c>
      <c r="H488" s="307">
        <f>_xlfn.IFNA(VLOOKUP($C488,'Facteurs d''émission'!$D$2:$I$340,4,FALSE),"Non présent dans la base")</f>
        <v>0</v>
      </c>
      <c r="I488" s="224"/>
      <c r="J488" s="3">
        <f t="shared" si="137"/>
        <v>0</v>
      </c>
      <c r="K488" s="7" t="str">
        <f t="shared" si="138"/>
        <v/>
      </c>
      <c r="L488" s="225"/>
      <c r="M488" s="3">
        <f t="shared" si="139"/>
        <v>0</v>
      </c>
      <c r="O488" s="249"/>
      <c r="P488" s="250"/>
      <c r="Q488" s="250"/>
      <c r="R488" s="250"/>
      <c r="S488" s="251"/>
    </row>
    <row r="489" spans="3:19" s="7" customFormat="1">
      <c r="C489" s="14" t="s">
        <v>306</v>
      </c>
      <c r="D489" s="221"/>
      <c r="E489" s="308">
        <f>_xlfn.IFNA(VLOOKUP($C489,'Facteurs d''émission'!$D$2:$I$340,2,FALSE),"Non renseigné")</f>
        <v>0</v>
      </c>
      <c r="F489" s="3">
        <f t="shared" si="136"/>
        <v>0</v>
      </c>
      <c r="H489" s="307">
        <f>_xlfn.IFNA(VLOOKUP($C489,'Facteurs d''émission'!$D$2:$I$340,4,FALSE),"Non présent dans la base")</f>
        <v>0</v>
      </c>
      <c r="I489" s="224"/>
      <c r="J489" s="3">
        <f t="shared" si="137"/>
        <v>0</v>
      </c>
      <c r="K489" s="7" t="str">
        <f t="shared" si="138"/>
        <v/>
      </c>
      <c r="L489" s="225"/>
      <c r="M489" s="3">
        <f t="shared" si="139"/>
        <v>0</v>
      </c>
      <c r="O489" s="249"/>
      <c r="P489" s="250"/>
      <c r="Q489" s="250"/>
      <c r="R489" s="250"/>
      <c r="S489" s="251"/>
    </row>
    <row r="490" spans="3:19" s="7" customFormat="1" ht="12">
      <c r="C490" s="52" t="s">
        <v>25</v>
      </c>
      <c r="D490" s="53"/>
      <c r="E490" s="53"/>
      <c r="F490" s="54">
        <f>SUM(F477:F489)</f>
        <v>0</v>
      </c>
      <c r="H490" s="86" t="str">
        <f>IF(COUNTA(D477:D489)&gt;COUNTIF(K477:K489,"ok"),"! Remplir une incertitude !","")</f>
        <v/>
      </c>
      <c r="I490" s="189"/>
      <c r="J490" s="54">
        <f>SUM(J477:J489)</f>
        <v>0</v>
      </c>
      <c r="K490" s="94"/>
      <c r="L490" s="55"/>
      <c r="M490" s="54">
        <f>SUM(M477:M489)</f>
        <v>0</v>
      </c>
      <c r="O490" s="2" t="str">
        <f>IF(M490&gt;0,IF(#REF!="","Attention: vous devez planifier une action afin de remplir votre objectif",""),"")</f>
        <v/>
      </c>
      <c r="P490" s="2"/>
      <c r="Q490" s="2"/>
      <c r="R490" s="2"/>
      <c r="S490" s="2"/>
    </row>
    <row r="491" spans="3:19" s="7" customFormat="1" ht="21.75" customHeight="1">
      <c r="C491" s="94"/>
      <c r="D491" s="94"/>
      <c r="E491" s="94"/>
      <c r="F491" s="11"/>
      <c r="H491" s="94"/>
      <c r="I491" s="94"/>
      <c r="J491" s="11"/>
      <c r="K491" s="94"/>
      <c r="L491" s="94"/>
      <c r="M491" s="11"/>
    </row>
    <row r="492" spans="3:19" s="7" customFormat="1" ht="12">
      <c r="C492" s="94"/>
      <c r="D492" s="94"/>
      <c r="E492" s="12" t="s">
        <v>348</v>
      </c>
      <c r="F492" s="11"/>
      <c r="H492" s="94"/>
      <c r="I492" s="94"/>
      <c r="J492" s="11"/>
      <c r="K492" s="94"/>
      <c r="L492" s="94"/>
      <c r="M492" s="11"/>
    </row>
    <row r="493" spans="3:19" s="7" customFormat="1">
      <c r="C493" s="94"/>
      <c r="D493" s="94"/>
      <c r="E493" s="94"/>
      <c r="F493" s="11"/>
      <c r="H493" s="94"/>
      <c r="I493" s="94"/>
      <c r="J493" s="11"/>
      <c r="K493" s="94"/>
      <c r="L493" s="94"/>
      <c r="M493" s="11"/>
    </row>
    <row r="494" spans="3:19" s="7" customFormat="1" ht="12">
      <c r="C494" s="273" t="s">
        <v>156</v>
      </c>
      <c r="F494" s="63" t="s">
        <v>307</v>
      </c>
      <c r="H494" s="42" t="s">
        <v>61</v>
      </c>
      <c r="I494" s="42"/>
      <c r="J494" s="42"/>
      <c r="K494" s="94"/>
      <c r="L494" s="62" t="s">
        <v>332</v>
      </c>
      <c r="M494" s="62"/>
      <c r="O494" s="12" t="s">
        <v>109</v>
      </c>
    </row>
    <row r="495" spans="3:19" s="7" customFormat="1" ht="12">
      <c r="C495" s="228" t="s">
        <v>104</v>
      </c>
      <c r="D495" s="228" t="s">
        <v>334</v>
      </c>
      <c r="E495" s="277" t="s">
        <v>232</v>
      </c>
      <c r="F495" s="229" t="s">
        <v>232</v>
      </c>
      <c r="H495" s="228" t="s">
        <v>286</v>
      </c>
      <c r="I495" s="228" t="s">
        <v>287</v>
      </c>
      <c r="J495" s="343" t="s">
        <v>232</v>
      </c>
      <c r="K495" s="94"/>
      <c r="L495" s="228" t="s">
        <v>288</v>
      </c>
      <c r="M495" s="343" t="s">
        <v>232</v>
      </c>
      <c r="O495" s="609" t="s">
        <v>165</v>
      </c>
      <c r="P495" s="610"/>
      <c r="Q495" s="610"/>
      <c r="R495" s="610"/>
      <c r="S495" s="611"/>
    </row>
    <row r="496" spans="3:19" s="7" customFormat="1">
      <c r="C496" s="14" t="s">
        <v>201</v>
      </c>
      <c r="D496" s="239"/>
      <c r="E496" s="308">
        <f>_xlfn.IFNA(VLOOKUP($C496,'Facteurs d''émission'!$D$2:$I$340,2,FALSE),"Non renseigné")</f>
        <v>9490</v>
      </c>
      <c r="F496" s="3">
        <f t="shared" ref="F496:F508" si="140">D496*E496</f>
        <v>0</v>
      </c>
      <c r="H496" s="307">
        <f>_xlfn.IFNA(VLOOKUP($C496,'Facteurs d''émission'!$D$2:$I$340,4,FALSE),"Non présent dans la base")</f>
        <v>0.3</v>
      </c>
      <c r="I496" s="224"/>
      <c r="J496" s="3">
        <f t="shared" ref="J496:J508" si="141">F496*(1-(1-H496)*(1-I496))</f>
        <v>0</v>
      </c>
      <c r="K496" s="7" t="str">
        <f>IF(D496*COUNTA(I496)&gt;0,"ok","")</f>
        <v/>
      </c>
      <c r="L496" s="225"/>
      <c r="M496" s="3">
        <f t="shared" ref="M496:M508" si="142">L496*F496</f>
        <v>0</v>
      </c>
      <c r="O496" s="249"/>
      <c r="P496" s="250"/>
      <c r="Q496" s="250"/>
      <c r="R496" s="250"/>
      <c r="S496" s="251"/>
    </row>
    <row r="497" spans="3:19" s="7" customFormat="1">
      <c r="C497" s="14" t="s">
        <v>206</v>
      </c>
      <c r="D497" s="239"/>
      <c r="E497" s="308">
        <f>_xlfn.IFNA(VLOOKUP($C497,'Facteurs d''émission'!$D$2:$I$340,2,FALSE),"Non renseigné")</f>
        <v>5600</v>
      </c>
      <c r="F497" s="3">
        <f t="shared" si="140"/>
        <v>0</v>
      </c>
      <c r="H497" s="307">
        <f>_xlfn.IFNA(VLOOKUP($C497,'Facteurs d''émission'!$D$2:$I$340,4,FALSE),"Non présent dans la base")</f>
        <v>0.3</v>
      </c>
      <c r="I497" s="224"/>
      <c r="J497" s="3">
        <f t="shared" si="141"/>
        <v>0</v>
      </c>
      <c r="K497" s="7" t="str">
        <f>IF(D497*COUNTA(I497)&gt;0,"ok","")</f>
        <v/>
      </c>
      <c r="L497" s="225"/>
      <c r="M497" s="3">
        <f t="shared" si="142"/>
        <v>0</v>
      </c>
      <c r="O497" s="249"/>
      <c r="P497" s="250"/>
      <c r="Q497" s="250"/>
      <c r="R497" s="250"/>
      <c r="S497" s="251"/>
    </row>
    <row r="498" spans="3:19" s="7" customFormat="1">
      <c r="C498" s="14" t="s">
        <v>265</v>
      </c>
      <c r="D498" s="239"/>
      <c r="E498" s="308">
        <f>_xlfn.IFNA(VLOOKUP($C498,'Facteurs d''émission'!$D$2:$I$340,2,FALSE),"Non renseigné")</f>
        <v>4800</v>
      </c>
      <c r="F498" s="3">
        <f t="shared" si="140"/>
        <v>0</v>
      </c>
      <c r="H498" s="307">
        <f>_xlfn.IFNA(VLOOKUP($C498,'Facteurs d''émission'!$D$2:$I$340,4,FALSE),"Non présent dans la base")</f>
        <v>0.3</v>
      </c>
      <c r="I498" s="224"/>
      <c r="J498" s="3">
        <f t="shared" si="141"/>
        <v>0</v>
      </c>
      <c r="L498" s="225"/>
      <c r="M498" s="3">
        <f t="shared" si="142"/>
        <v>0</v>
      </c>
      <c r="O498" s="249"/>
      <c r="P498" s="250"/>
      <c r="Q498" s="250"/>
      <c r="R498" s="250"/>
      <c r="S498" s="251"/>
    </row>
    <row r="499" spans="3:19" s="7" customFormat="1">
      <c r="C499" s="14" t="s">
        <v>207</v>
      </c>
      <c r="D499" s="239"/>
      <c r="E499" s="308">
        <f>_xlfn.IFNA(VLOOKUP($C499,'Facteurs d''émission'!$D$2:$I$340,2,FALSE),"Non renseigné")</f>
        <v>3610</v>
      </c>
      <c r="F499" s="3">
        <f t="shared" si="140"/>
        <v>0</v>
      </c>
      <c r="H499" s="307">
        <f>_xlfn.IFNA(VLOOKUP($C499,'Facteurs d''émission'!$D$2:$I$340,4,FALSE),"Non présent dans la base")</f>
        <v>0.3</v>
      </c>
      <c r="I499" s="224"/>
      <c r="J499" s="3">
        <f t="shared" si="141"/>
        <v>0</v>
      </c>
      <c r="K499" s="7" t="str">
        <f t="shared" ref="K499:K508" si="143">IF(D499*COUNTA(I499)&gt;0,"ok","")</f>
        <v/>
      </c>
      <c r="L499" s="225"/>
      <c r="M499" s="3">
        <f t="shared" si="142"/>
        <v>0</v>
      </c>
      <c r="O499" s="249"/>
      <c r="P499" s="250"/>
      <c r="Q499" s="250"/>
      <c r="R499" s="250"/>
      <c r="S499" s="251"/>
    </row>
    <row r="500" spans="3:19" s="7" customFormat="1">
      <c r="C500" s="14" t="s">
        <v>234</v>
      </c>
      <c r="D500" s="239"/>
      <c r="E500" s="308">
        <f>_xlfn.IFNA(VLOOKUP($C500,'Facteurs d''émission'!$D$2:$I$340,2,FALSE),"Non renseigné")</f>
        <v>2880</v>
      </c>
      <c r="F500" s="3">
        <f t="shared" si="140"/>
        <v>0</v>
      </c>
      <c r="H500" s="307">
        <f>_xlfn.IFNA(VLOOKUP($C500,'Facteurs d''émission'!$D$2:$I$340,4,FALSE),"Non présent dans la base")</f>
        <v>0.3</v>
      </c>
      <c r="I500" s="224"/>
      <c r="J500" s="3">
        <f t="shared" si="141"/>
        <v>0</v>
      </c>
      <c r="K500" s="7" t="str">
        <f t="shared" si="143"/>
        <v/>
      </c>
      <c r="L500" s="225"/>
      <c r="M500" s="3">
        <f t="shared" si="142"/>
        <v>0</v>
      </c>
      <c r="O500" s="249"/>
      <c r="P500" s="250"/>
      <c r="Q500" s="250"/>
      <c r="R500" s="250"/>
      <c r="S500" s="251"/>
    </row>
    <row r="501" spans="3:19" s="7" customFormat="1">
      <c r="C501" s="14" t="s">
        <v>208</v>
      </c>
      <c r="D501" s="239"/>
      <c r="E501" s="308">
        <f>_xlfn.IFNA(VLOOKUP($C501,'Facteurs d''émission'!$D$2:$I$340,2,FALSE),"Non renseigné")</f>
        <v>1520</v>
      </c>
      <c r="F501" s="3">
        <f t="shared" si="140"/>
        <v>0</v>
      </c>
      <c r="H501" s="307">
        <f>_xlfn.IFNA(VLOOKUP($C501,'Facteurs d''émission'!$D$2:$I$340,4,FALSE),"Non présent dans la base")</f>
        <v>0.3</v>
      </c>
      <c r="I501" s="224"/>
      <c r="J501" s="3">
        <f t="shared" si="141"/>
        <v>0</v>
      </c>
      <c r="K501" s="7" t="str">
        <f t="shared" si="143"/>
        <v/>
      </c>
      <c r="L501" s="225"/>
      <c r="M501" s="3">
        <f t="shared" si="142"/>
        <v>0</v>
      </c>
      <c r="O501" s="249"/>
      <c r="P501" s="250"/>
      <c r="Q501" s="250"/>
      <c r="R501" s="250"/>
      <c r="S501" s="251"/>
    </row>
    <row r="502" spans="3:19" s="7" customFormat="1">
      <c r="C502" s="14" t="s">
        <v>209</v>
      </c>
      <c r="D502" s="239"/>
      <c r="E502" s="308">
        <f>_xlfn.IFNA(VLOOKUP($C502,'Facteurs d''émission'!$D$2:$I$340,2,FALSE),"Non renseigné")</f>
        <v>701</v>
      </c>
      <c r="F502" s="3">
        <f t="shared" si="140"/>
        <v>0</v>
      </c>
      <c r="H502" s="307">
        <f>_xlfn.IFNA(VLOOKUP($C502,'Facteurs d''émission'!$D$2:$I$340,4,FALSE),"Non présent dans la base")</f>
        <v>0.3</v>
      </c>
      <c r="I502" s="224"/>
      <c r="J502" s="3">
        <f t="shared" si="141"/>
        <v>0</v>
      </c>
      <c r="K502" s="7" t="str">
        <f t="shared" si="143"/>
        <v/>
      </c>
      <c r="L502" s="225"/>
      <c r="M502" s="3">
        <f t="shared" si="142"/>
        <v>0</v>
      </c>
      <c r="O502" s="249"/>
      <c r="P502" s="250"/>
      <c r="Q502" s="250"/>
      <c r="R502" s="250"/>
      <c r="S502" s="251"/>
    </row>
    <row r="503" spans="3:19" s="7" customFormat="1">
      <c r="C503" s="14" t="s">
        <v>126</v>
      </c>
      <c r="D503" s="239"/>
      <c r="E503" s="308">
        <f>_xlfn.IFNA(VLOOKUP($C503,'Facteurs d''émission'!$D$2:$I$340,2,FALSE),"Non renseigné")</f>
        <v>1620</v>
      </c>
      <c r="F503" s="3">
        <f t="shared" si="140"/>
        <v>0</v>
      </c>
      <c r="H503" s="307">
        <f>_xlfn.IFNA(VLOOKUP($C503,'Facteurs d''émission'!$D$2:$I$340,4,FALSE),"Non présent dans la base")</f>
        <v>0.3</v>
      </c>
      <c r="I503" s="224"/>
      <c r="J503" s="3">
        <f t="shared" si="141"/>
        <v>0</v>
      </c>
      <c r="K503" s="7" t="str">
        <f t="shared" si="143"/>
        <v/>
      </c>
      <c r="L503" s="225"/>
      <c r="M503" s="3">
        <f t="shared" si="142"/>
        <v>0</v>
      </c>
      <c r="O503" s="249"/>
      <c r="P503" s="250"/>
      <c r="Q503" s="250"/>
      <c r="R503" s="250"/>
      <c r="S503" s="251"/>
    </row>
    <row r="504" spans="3:19" s="7" customFormat="1">
      <c r="C504" s="14" t="s">
        <v>210</v>
      </c>
      <c r="D504" s="239"/>
      <c r="E504" s="308">
        <f>_xlfn.IFNA(VLOOKUP($C504,'Facteurs d''émission'!$D$2:$I$340,2,FALSE),"Non renseigné")</f>
        <v>2600</v>
      </c>
      <c r="F504" s="3">
        <f t="shared" si="140"/>
        <v>0</v>
      </c>
      <c r="H504" s="307">
        <f>_xlfn.IFNA(VLOOKUP($C504,'Facteurs d''émission'!$D$2:$I$340,4,FALSE),"Non présent dans la base")</f>
        <v>0.3</v>
      </c>
      <c r="I504" s="224"/>
      <c r="J504" s="3">
        <f t="shared" si="141"/>
        <v>0</v>
      </c>
      <c r="K504" s="7" t="str">
        <f t="shared" si="143"/>
        <v/>
      </c>
      <c r="L504" s="225"/>
      <c r="M504" s="3">
        <f t="shared" si="142"/>
        <v>0</v>
      </c>
      <c r="O504" s="249"/>
      <c r="P504" s="250"/>
      <c r="Q504" s="250"/>
      <c r="R504" s="250"/>
      <c r="S504" s="251"/>
    </row>
    <row r="505" spans="3:19" s="7" customFormat="1">
      <c r="C505" s="14" t="s">
        <v>211</v>
      </c>
      <c r="D505" s="239"/>
      <c r="E505" s="308">
        <f>_xlfn.IFNA(VLOOKUP($C505,'Facteurs d''émission'!$D$2:$I$340,2,FALSE),"Non renseigné")</f>
        <v>1220</v>
      </c>
      <c r="F505" s="3">
        <f t="shared" si="140"/>
        <v>0</v>
      </c>
      <c r="H505" s="307">
        <f>_xlfn.IFNA(VLOOKUP($C505,'Facteurs d''émission'!$D$2:$I$340,4,FALSE),"Non présent dans la base")</f>
        <v>0.3</v>
      </c>
      <c r="I505" s="224"/>
      <c r="J505" s="3">
        <f t="shared" si="141"/>
        <v>0</v>
      </c>
      <c r="K505" s="7" t="str">
        <f t="shared" si="143"/>
        <v/>
      </c>
      <c r="L505" s="225"/>
      <c r="M505" s="3">
        <f t="shared" si="142"/>
        <v>0</v>
      </c>
      <c r="O505" s="249"/>
      <c r="P505" s="250"/>
      <c r="Q505" s="250"/>
      <c r="R505" s="250"/>
      <c r="S505" s="251"/>
    </row>
    <row r="506" spans="3:19" s="7" customFormat="1">
      <c r="C506" s="14" t="s">
        <v>266</v>
      </c>
      <c r="D506" s="239"/>
      <c r="E506" s="308">
        <f>_xlfn.IFNA(VLOOKUP($C506,'Facteurs d''émission'!$D$2:$I$340,2,FALSE),"Non renseigné")</f>
        <v>2610</v>
      </c>
      <c r="F506" s="3">
        <f t="shared" si="140"/>
        <v>0</v>
      </c>
      <c r="H506" s="307">
        <f>_xlfn.IFNA(VLOOKUP($C506,'Facteurs d''émission'!$D$2:$I$340,4,FALSE),"Non présent dans la base")</f>
        <v>0.3</v>
      </c>
      <c r="I506" s="224"/>
      <c r="J506" s="3">
        <f t="shared" si="141"/>
        <v>0</v>
      </c>
      <c r="K506" s="7" t="str">
        <f t="shared" si="143"/>
        <v/>
      </c>
      <c r="L506" s="225"/>
      <c r="M506" s="3">
        <f t="shared" si="142"/>
        <v>0</v>
      </c>
      <c r="O506" s="249"/>
      <c r="P506" s="250"/>
      <c r="Q506" s="250"/>
      <c r="R506" s="250"/>
      <c r="S506" s="251"/>
    </row>
    <row r="507" spans="3:19" s="7" customFormat="1">
      <c r="C507" s="14" t="s">
        <v>14</v>
      </c>
      <c r="D507" s="239"/>
      <c r="E507" s="308">
        <f>_xlfn.IFNA(VLOOKUP($C507,'Facteurs d''émission'!$D$2:$I$340,2,FALSE),"Non renseigné")</f>
        <v>1170</v>
      </c>
      <c r="F507" s="3">
        <f t="shared" si="140"/>
        <v>0</v>
      </c>
      <c r="H507" s="307">
        <f>_xlfn.IFNA(VLOOKUP($C507,'Facteurs d''émission'!$D$2:$I$340,4,FALSE),"Non présent dans la base")</f>
        <v>0.3</v>
      </c>
      <c r="I507" s="224"/>
      <c r="J507" s="3">
        <f t="shared" si="141"/>
        <v>0</v>
      </c>
      <c r="K507" s="7" t="str">
        <f t="shared" si="143"/>
        <v/>
      </c>
      <c r="L507" s="225"/>
      <c r="M507" s="3">
        <f t="shared" si="142"/>
        <v>0</v>
      </c>
      <c r="O507" s="249"/>
      <c r="P507" s="250"/>
      <c r="Q507" s="250"/>
      <c r="R507" s="250"/>
      <c r="S507" s="251"/>
    </row>
    <row r="508" spans="3:19" s="7" customFormat="1">
      <c r="C508" s="14" t="s">
        <v>212</v>
      </c>
      <c r="D508" s="239"/>
      <c r="E508" s="308">
        <f>_xlfn.IFNA(VLOOKUP($C508,'Facteurs d''émission'!$D$2:$I$340,2,FALSE),"Non renseigné")</f>
        <v>1280</v>
      </c>
      <c r="F508" s="3">
        <f t="shared" si="140"/>
        <v>0</v>
      </c>
      <c r="H508" s="307">
        <f>_xlfn.IFNA(VLOOKUP($C508,'Facteurs d''émission'!$D$2:$I$340,4,FALSE),"Non présent dans la base")</f>
        <v>0.3</v>
      </c>
      <c r="I508" s="224"/>
      <c r="J508" s="3">
        <f t="shared" si="141"/>
        <v>0</v>
      </c>
      <c r="K508" s="7" t="str">
        <f t="shared" si="143"/>
        <v/>
      </c>
      <c r="L508" s="225"/>
      <c r="M508" s="3">
        <f t="shared" si="142"/>
        <v>0</v>
      </c>
      <c r="O508" s="249"/>
      <c r="P508" s="250"/>
      <c r="Q508" s="250"/>
      <c r="R508" s="250"/>
      <c r="S508" s="251"/>
    </row>
    <row r="509" spans="3:19" s="7" customFormat="1">
      <c r="C509" s="14" t="s">
        <v>213</v>
      </c>
      <c r="D509" s="239"/>
      <c r="E509" s="308">
        <f>_xlfn.IFNA(VLOOKUP($C509,'Facteurs d''émission'!$D$2:$I$340,2,FALSE),"Non renseigné")</f>
        <v>682</v>
      </c>
      <c r="F509" s="3">
        <f t="shared" ref="F509:F522" si="144">D509*E509</f>
        <v>0</v>
      </c>
      <c r="H509" s="307">
        <f>_xlfn.IFNA(VLOOKUP($C509,'Facteurs d''émission'!$D$2:$I$340,4,FALSE),"Non présent dans la base")</f>
        <v>0.3</v>
      </c>
      <c r="I509" s="224"/>
      <c r="J509" s="3">
        <f t="shared" ref="J509:J522" si="145">F509*(1-(1-H509)*(1-I509))</f>
        <v>0</v>
      </c>
      <c r="K509" s="7" t="str">
        <f t="shared" ref="K509:K522" si="146">IF(D509*COUNTA(I509)&gt;0,"ok","")</f>
        <v/>
      </c>
      <c r="L509" s="225"/>
      <c r="M509" s="3">
        <f t="shared" ref="M509:M522" si="147">L509*F509</f>
        <v>0</v>
      </c>
      <c r="O509" s="249"/>
      <c r="P509" s="250"/>
      <c r="Q509" s="250"/>
      <c r="R509" s="250"/>
      <c r="S509" s="251"/>
    </row>
    <row r="510" spans="3:19" s="7" customFormat="1" ht="12">
      <c r="C510" s="14" t="s">
        <v>306</v>
      </c>
      <c r="D510" s="517"/>
      <c r="E510" s="308">
        <f>_xlfn.IFNA(VLOOKUP($C510,'Facteurs d''émission'!$D$2:$I$340,2,FALSE),"Non renseigné")</f>
        <v>0</v>
      </c>
      <c r="F510" s="3">
        <f t="shared" ref="F510:F518" si="148">D510*E510</f>
        <v>0</v>
      </c>
      <c r="H510" s="307">
        <f>_xlfn.IFNA(VLOOKUP($C510,'Facteurs d''émission'!$D$2:$I$340,4,FALSE),"Non présent dans la base")</f>
        <v>0</v>
      </c>
      <c r="I510" s="224"/>
      <c r="J510" s="3">
        <f t="shared" ref="J510:J518" si="149">F510*(1-(1-H510)*(1-I510))</f>
        <v>0</v>
      </c>
      <c r="K510" s="7" t="str">
        <f t="shared" ref="K510:K518" si="150">IF(D510*COUNTA(I510)&gt;0,"ok","")</f>
        <v/>
      </c>
      <c r="L510" s="225"/>
      <c r="M510" s="3">
        <f t="shared" ref="M510:M518" si="151">L510*F510</f>
        <v>0</v>
      </c>
      <c r="O510" s="249"/>
      <c r="P510" s="250"/>
      <c r="Q510" s="250"/>
      <c r="R510" s="250"/>
      <c r="S510" s="251"/>
    </row>
    <row r="511" spans="3:19" s="7" customFormat="1" ht="12">
      <c r="C511" s="14" t="s">
        <v>306</v>
      </c>
      <c r="D511" s="517"/>
      <c r="E511" s="308">
        <f>_xlfn.IFNA(VLOOKUP($C511,'Facteurs d''émission'!$D$2:$I$340,2,FALSE),"Non renseigné")</f>
        <v>0</v>
      </c>
      <c r="F511" s="3">
        <f t="shared" si="148"/>
        <v>0</v>
      </c>
      <c r="H511" s="307">
        <f>_xlfn.IFNA(VLOOKUP($C511,'Facteurs d''émission'!$D$2:$I$340,4,FALSE),"Non présent dans la base")</f>
        <v>0</v>
      </c>
      <c r="I511" s="224"/>
      <c r="J511" s="3">
        <f t="shared" si="149"/>
        <v>0</v>
      </c>
      <c r="K511" s="7" t="str">
        <f t="shared" si="150"/>
        <v/>
      </c>
      <c r="L511" s="225"/>
      <c r="M511" s="3">
        <f t="shared" si="151"/>
        <v>0</v>
      </c>
      <c r="O511" s="249"/>
      <c r="P511" s="250"/>
      <c r="Q511" s="250"/>
      <c r="R511" s="250"/>
      <c r="S511" s="251"/>
    </row>
    <row r="512" spans="3:19" s="7" customFormat="1">
      <c r="C512" s="14" t="s">
        <v>306</v>
      </c>
      <c r="D512" s="239"/>
      <c r="E512" s="308">
        <f>_xlfn.IFNA(VLOOKUP($C512,'Facteurs d''émission'!$D$2:$I$340,2,FALSE),"Non renseigné")</f>
        <v>0</v>
      </c>
      <c r="F512" s="3">
        <f t="shared" si="148"/>
        <v>0</v>
      </c>
      <c r="H512" s="307">
        <f>_xlfn.IFNA(VLOOKUP($C512,'Facteurs d''émission'!$D$2:$I$340,4,FALSE),"Non présent dans la base")</f>
        <v>0</v>
      </c>
      <c r="I512" s="224"/>
      <c r="J512" s="3">
        <f t="shared" si="149"/>
        <v>0</v>
      </c>
      <c r="K512" s="7" t="str">
        <f t="shared" si="150"/>
        <v/>
      </c>
      <c r="L512" s="225"/>
      <c r="M512" s="3">
        <f t="shared" si="151"/>
        <v>0</v>
      </c>
      <c r="O512" s="249"/>
      <c r="P512" s="250"/>
      <c r="Q512" s="250"/>
      <c r="R512" s="250"/>
      <c r="S512" s="251"/>
    </row>
    <row r="513" spans="3:19" s="7" customFormat="1">
      <c r="C513" s="14" t="s">
        <v>306</v>
      </c>
      <c r="D513" s="239"/>
      <c r="E513" s="308">
        <f>_xlfn.IFNA(VLOOKUP($C513,'Facteurs d''émission'!$D$2:$I$340,2,FALSE),"Non renseigné")</f>
        <v>0</v>
      </c>
      <c r="F513" s="3">
        <f t="shared" si="148"/>
        <v>0</v>
      </c>
      <c r="H513" s="307">
        <f>_xlfn.IFNA(VLOOKUP($C513,'Facteurs d''émission'!$D$2:$I$340,4,FALSE),"Non présent dans la base")</f>
        <v>0</v>
      </c>
      <c r="I513" s="224"/>
      <c r="J513" s="3">
        <f t="shared" si="149"/>
        <v>0</v>
      </c>
      <c r="K513" s="7" t="str">
        <f t="shared" si="150"/>
        <v/>
      </c>
      <c r="L513" s="225"/>
      <c r="M513" s="3">
        <f t="shared" si="151"/>
        <v>0</v>
      </c>
      <c r="O513" s="249"/>
      <c r="P513" s="250"/>
      <c r="Q513" s="250"/>
      <c r="R513" s="250"/>
      <c r="S513" s="251"/>
    </row>
    <row r="514" spans="3:19" s="7" customFormat="1">
      <c r="C514" s="14" t="s">
        <v>306</v>
      </c>
      <c r="D514" s="239"/>
      <c r="E514" s="308">
        <f>_xlfn.IFNA(VLOOKUP($C514,'Facteurs d''émission'!$D$2:$I$340,2,FALSE),"Non renseigné")</f>
        <v>0</v>
      </c>
      <c r="F514" s="3">
        <f t="shared" si="148"/>
        <v>0</v>
      </c>
      <c r="H514" s="307">
        <f>_xlfn.IFNA(VLOOKUP($C514,'Facteurs d''émission'!$D$2:$I$340,4,FALSE),"Non présent dans la base")</f>
        <v>0</v>
      </c>
      <c r="I514" s="224"/>
      <c r="J514" s="3">
        <f t="shared" si="149"/>
        <v>0</v>
      </c>
      <c r="K514" s="7" t="str">
        <f t="shared" si="150"/>
        <v/>
      </c>
      <c r="L514" s="225"/>
      <c r="M514" s="3">
        <f t="shared" si="151"/>
        <v>0</v>
      </c>
      <c r="O514" s="249"/>
      <c r="P514" s="250"/>
      <c r="Q514" s="250"/>
      <c r="R514" s="250"/>
      <c r="S514" s="251"/>
    </row>
    <row r="515" spans="3:19" s="7" customFormat="1">
      <c r="C515" s="14" t="s">
        <v>306</v>
      </c>
      <c r="D515" s="239"/>
      <c r="E515" s="308">
        <f>_xlfn.IFNA(VLOOKUP($C515,'Facteurs d''émission'!$D$2:$I$340,2,FALSE),"Non renseigné")</f>
        <v>0</v>
      </c>
      <c r="F515" s="3">
        <f t="shared" si="148"/>
        <v>0</v>
      </c>
      <c r="H515" s="307">
        <f>_xlfn.IFNA(VLOOKUP($C515,'Facteurs d''émission'!$D$2:$I$340,4,FALSE),"Non présent dans la base")</f>
        <v>0</v>
      </c>
      <c r="I515" s="224"/>
      <c r="J515" s="3">
        <f t="shared" si="149"/>
        <v>0</v>
      </c>
      <c r="K515" s="7" t="str">
        <f t="shared" si="150"/>
        <v/>
      </c>
      <c r="L515" s="225"/>
      <c r="M515" s="3">
        <f t="shared" si="151"/>
        <v>0</v>
      </c>
      <c r="O515" s="249"/>
      <c r="P515" s="250"/>
      <c r="Q515" s="250"/>
      <c r="R515" s="250"/>
      <c r="S515" s="251"/>
    </row>
    <row r="516" spans="3:19" s="7" customFormat="1">
      <c r="C516" s="14" t="s">
        <v>306</v>
      </c>
      <c r="D516" s="239"/>
      <c r="E516" s="308">
        <f>_xlfn.IFNA(VLOOKUP($C516,'Facteurs d''émission'!$D$2:$I$340,2,FALSE),"Non renseigné")</f>
        <v>0</v>
      </c>
      <c r="F516" s="3">
        <f t="shared" si="148"/>
        <v>0</v>
      </c>
      <c r="H516" s="307">
        <f>_xlfn.IFNA(VLOOKUP($C516,'Facteurs d''émission'!$D$2:$I$340,4,FALSE),"Non présent dans la base")</f>
        <v>0</v>
      </c>
      <c r="I516" s="224"/>
      <c r="J516" s="3">
        <f t="shared" si="149"/>
        <v>0</v>
      </c>
      <c r="K516" s="7" t="str">
        <f t="shared" si="150"/>
        <v/>
      </c>
      <c r="L516" s="225"/>
      <c r="M516" s="3">
        <f t="shared" si="151"/>
        <v>0</v>
      </c>
      <c r="O516" s="249"/>
      <c r="P516" s="250"/>
      <c r="Q516" s="250"/>
      <c r="R516" s="250"/>
      <c r="S516" s="251"/>
    </row>
    <row r="517" spans="3:19" s="7" customFormat="1">
      <c r="C517" s="14" t="s">
        <v>306</v>
      </c>
      <c r="D517" s="239"/>
      <c r="E517" s="308">
        <f>_xlfn.IFNA(VLOOKUP($C517,'Facteurs d''émission'!$D$2:$I$340,2,FALSE),"Non renseigné")</f>
        <v>0</v>
      </c>
      <c r="F517" s="3">
        <f t="shared" si="148"/>
        <v>0</v>
      </c>
      <c r="H517" s="307">
        <f>_xlfn.IFNA(VLOOKUP($C517,'Facteurs d''émission'!$D$2:$I$340,4,FALSE),"Non présent dans la base")</f>
        <v>0</v>
      </c>
      <c r="I517" s="224"/>
      <c r="J517" s="3">
        <f t="shared" si="149"/>
        <v>0</v>
      </c>
      <c r="K517" s="7" t="str">
        <f t="shared" si="150"/>
        <v/>
      </c>
      <c r="L517" s="225"/>
      <c r="M517" s="3">
        <f t="shared" si="151"/>
        <v>0</v>
      </c>
      <c r="O517" s="249"/>
      <c r="P517" s="250"/>
      <c r="Q517" s="250"/>
      <c r="R517" s="250"/>
      <c r="S517" s="251"/>
    </row>
    <row r="518" spans="3:19" s="7" customFormat="1">
      <c r="C518" s="14" t="s">
        <v>306</v>
      </c>
      <c r="D518" s="239"/>
      <c r="E518" s="308">
        <f>_xlfn.IFNA(VLOOKUP($C518,'Facteurs d''émission'!$D$2:$I$340,2,FALSE),"Non renseigné")</f>
        <v>0</v>
      </c>
      <c r="F518" s="3">
        <f t="shared" si="148"/>
        <v>0</v>
      </c>
      <c r="H518" s="307">
        <f>_xlfn.IFNA(VLOOKUP($C518,'Facteurs d''émission'!$D$2:$I$340,4,FALSE),"Non présent dans la base")</f>
        <v>0</v>
      </c>
      <c r="I518" s="224"/>
      <c r="J518" s="3">
        <f t="shared" si="149"/>
        <v>0</v>
      </c>
      <c r="K518" s="7" t="str">
        <f t="shared" si="150"/>
        <v/>
      </c>
      <c r="L518" s="225"/>
      <c r="M518" s="3">
        <f t="shared" si="151"/>
        <v>0</v>
      </c>
      <c r="O518" s="249"/>
      <c r="P518" s="250"/>
      <c r="Q518" s="250"/>
      <c r="R518" s="250"/>
      <c r="S518" s="251"/>
    </row>
    <row r="519" spans="3:19" s="7" customFormat="1">
      <c r="C519" s="14" t="s">
        <v>306</v>
      </c>
      <c r="D519" s="239"/>
      <c r="E519" s="308">
        <f>_xlfn.IFNA(VLOOKUP($C519,'Facteurs d''émission'!$D$2:$I$340,2,FALSE),"Non renseigné")</f>
        <v>0</v>
      </c>
      <c r="F519" s="3">
        <f t="shared" si="144"/>
        <v>0</v>
      </c>
      <c r="H519" s="307">
        <f>_xlfn.IFNA(VLOOKUP($C519,'Facteurs d''émission'!$D$2:$I$340,4,FALSE),"Non présent dans la base")</f>
        <v>0</v>
      </c>
      <c r="I519" s="224"/>
      <c r="J519" s="3">
        <f t="shared" si="145"/>
        <v>0</v>
      </c>
      <c r="K519" s="7" t="str">
        <f t="shared" si="146"/>
        <v/>
      </c>
      <c r="L519" s="225"/>
      <c r="M519" s="3">
        <f t="shared" si="147"/>
        <v>0</v>
      </c>
      <c r="O519" s="249"/>
      <c r="P519" s="250"/>
      <c r="Q519" s="250"/>
      <c r="R519" s="250"/>
      <c r="S519" s="251"/>
    </row>
    <row r="520" spans="3:19" s="7" customFormat="1">
      <c r="C520" s="14" t="s">
        <v>306</v>
      </c>
      <c r="D520" s="239"/>
      <c r="E520" s="308">
        <f>_xlfn.IFNA(VLOOKUP($C520,'Facteurs d''émission'!$D$2:$I$340,2,FALSE),"Non renseigné")</f>
        <v>0</v>
      </c>
      <c r="F520" s="3">
        <f t="shared" si="144"/>
        <v>0</v>
      </c>
      <c r="H520" s="307">
        <f>_xlfn.IFNA(VLOOKUP($C520,'Facteurs d''émission'!$D$2:$I$340,4,FALSE),"Non présent dans la base")</f>
        <v>0</v>
      </c>
      <c r="I520" s="224"/>
      <c r="J520" s="3">
        <f t="shared" si="145"/>
        <v>0</v>
      </c>
      <c r="K520" s="7" t="str">
        <f t="shared" si="146"/>
        <v/>
      </c>
      <c r="L520" s="225"/>
      <c r="M520" s="3">
        <f t="shared" si="147"/>
        <v>0</v>
      </c>
      <c r="O520" s="249"/>
      <c r="P520" s="250"/>
      <c r="Q520" s="250"/>
      <c r="R520" s="250"/>
      <c r="S520" s="251"/>
    </row>
    <row r="521" spans="3:19" s="7" customFormat="1">
      <c r="C521" s="14" t="s">
        <v>306</v>
      </c>
      <c r="D521" s="239"/>
      <c r="E521" s="308">
        <f>_xlfn.IFNA(VLOOKUP($C521,'Facteurs d''émission'!$D$2:$I$340,2,FALSE),"Non renseigné")</f>
        <v>0</v>
      </c>
      <c r="F521" s="3">
        <f t="shared" si="144"/>
        <v>0</v>
      </c>
      <c r="H521" s="307">
        <f>_xlfn.IFNA(VLOOKUP($C521,'Facteurs d''émission'!$D$2:$I$340,4,FALSE),"Non présent dans la base")</f>
        <v>0</v>
      </c>
      <c r="I521" s="224"/>
      <c r="J521" s="3">
        <f t="shared" si="145"/>
        <v>0</v>
      </c>
      <c r="K521" s="7" t="str">
        <f t="shared" si="146"/>
        <v/>
      </c>
      <c r="L521" s="225"/>
      <c r="M521" s="3">
        <f t="shared" si="147"/>
        <v>0</v>
      </c>
      <c r="O521" s="249"/>
      <c r="P521" s="250"/>
      <c r="Q521" s="250"/>
      <c r="R521" s="250"/>
      <c r="S521" s="251"/>
    </row>
    <row r="522" spans="3:19" s="7" customFormat="1">
      <c r="C522" s="14" t="s">
        <v>306</v>
      </c>
      <c r="D522" s="239"/>
      <c r="E522" s="308">
        <f>_xlfn.IFNA(VLOOKUP($C522,'Facteurs d''émission'!$D$2:$I$340,2,FALSE),"Non renseigné")</f>
        <v>0</v>
      </c>
      <c r="F522" s="3">
        <f t="shared" si="144"/>
        <v>0</v>
      </c>
      <c r="H522" s="307">
        <f>_xlfn.IFNA(VLOOKUP($C522,'Facteurs d''émission'!$D$2:$I$340,4,FALSE),"Non présent dans la base")</f>
        <v>0</v>
      </c>
      <c r="I522" s="224"/>
      <c r="J522" s="3">
        <f t="shared" si="145"/>
        <v>0</v>
      </c>
      <c r="K522" s="7" t="str">
        <f t="shared" si="146"/>
        <v/>
      </c>
      <c r="L522" s="225"/>
      <c r="M522" s="3">
        <f t="shared" si="147"/>
        <v>0</v>
      </c>
      <c r="O522" s="249"/>
      <c r="P522" s="250"/>
      <c r="Q522" s="250"/>
      <c r="R522" s="250"/>
      <c r="S522" s="251"/>
    </row>
    <row r="523" spans="3:19" s="7" customFormat="1" ht="12">
      <c r="C523" s="52" t="s">
        <v>25</v>
      </c>
      <c r="D523" s="516">
        <f>SUM(D496:D522)</f>
        <v>0</v>
      </c>
      <c r="E523" s="14"/>
      <c r="F523" s="54">
        <f>SUM(F496:F522)</f>
        <v>0</v>
      </c>
      <c r="H523" s="86" t="str">
        <f>IF(COUNTA(D496:D522)&gt;COUNTIF(K496:K522,"ok"),"! Remplir une incertitude !","")</f>
        <v/>
      </c>
      <c r="I523" s="189"/>
      <c r="J523" s="51">
        <f>SUM(J496:J522)</f>
        <v>0</v>
      </c>
      <c r="K523" s="94"/>
      <c r="L523" s="14"/>
      <c r="M523" s="51">
        <f>SUM(M496:M522)</f>
        <v>0</v>
      </c>
      <c r="O523" s="2" t="str">
        <f>IF(M523&gt;0,IF(#REF!="","Attention: vous devez planifier une action afin de remplir votre objectif",""),"")</f>
        <v/>
      </c>
      <c r="P523" s="2"/>
      <c r="Q523" s="2"/>
      <c r="R523" s="2"/>
      <c r="S523" s="2"/>
    </row>
    <row r="524" spans="3:19" s="7" customFormat="1" ht="24" customHeight="1">
      <c r="C524" s="12"/>
      <c r="F524" s="63"/>
      <c r="J524" s="63"/>
      <c r="K524" s="94"/>
      <c r="M524" s="63"/>
      <c r="O524" s="9"/>
      <c r="P524" s="9"/>
      <c r="Q524" s="9"/>
      <c r="R524" s="9"/>
      <c r="S524" s="9"/>
    </row>
    <row r="525" spans="3:19" s="7" customFormat="1" ht="12">
      <c r="C525" s="12"/>
      <c r="E525" s="12" t="s">
        <v>323</v>
      </c>
      <c r="F525" s="63"/>
      <c r="J525" s="63"/>
      <c r="K525" s="94"/>
      <c r="M525" s="63"/>
      <c r="O525" s="9"/>
      <c r="P525" s="9"/>
      <c r="Q525" s="9"/>
      <c r="R525" s="9"/>
      <c r="S525" s="9"/>
    </row>
    <row r="526" spans="3:19" s="7" customFormat="1" ht="12">
      <c r="C526" s="12"/>
      <c r="F526" s="63"/>
      <c r="J526" s="63"/>
      <c r="K526" s="94"/>
      <c r="M526" s="63"/>
      <c r="O526" s="9"/>
      <c r="P526" s="9"/>
      <c r="Q526" s="9"/>
      <c r="R526" s="9"/>
      <c r="S526" s="9"/>
    </row>
    <row r="527" spans="3:19" s="7" customFormat="1" ht="12">
      <c r="C527" s="273" t="s">
        <v>156</v>
      </c>
      <c r="F527" s="63" t="s">
        <v>307</v>
      </c>
      <c r="H527" s="42" t="s">
        <v>61</v>
      </c>
      <c r="I527" s="42"/>
      <c r="J527" s="42"/>
      <c r="K527" s="94"/>
      <c r="L527" s="62" t="s">
        <v>332</v>
      </c>
      <c r="M527" s="62"/>
      <c r="O527" s="12" t="s">
        <v>109</v>
      </c>
    </row>
    <row r="528" spans="3:19" s="7" customFormat="1" ht="12">
      <c r="C528" s="228" t="s">
        <v>104</v>
      </c>
      <c r="D528" s="228" t="s">
        <v>344</v>
      </c>
      <c r="E528" s="277" t="s">
        <v>345</v>
      </c>
      <c r="F528" s="229" t="s">
        <v>232</v>
      </c>
      <c r="H528" s="228" t="s">
        <v>286</v>
      </c>
      <c r="I528" s="228" t="s">
        <v>287</v>
      </c>
      <c r="J528" s="343" t="s">
        <v>232</v>
      </c>
      <c r="K528" s="94"/>
      <c r="L528" s="228" t="s">
        <v>288</v>
      </c>
      <c r="M528" s="343" t="s">
        <v>232</v>
      </c>
      <c r="O528" s="609" t="s">
        <v>165</v>
      </c>
      <c r="P528" s="610"/>
      <c r="Q528" s="610"/>
      <c r="R528" s="610"/>
      <c r="S528" s="611"/>
    </row>
    <row r="529" spans="3:19" s="7" customFormat="1">
      <c r="C529" s="14" t="s">
        <v>451</v>
      </c>
      <c r="D529" s="239"/>
      <c r="E529" s="309">
        <f>_xlfn.IFNA(VLOOKUP($C529,'Facteurs d''émission'!$D$2:$I$340,2,FALSE),"Non renseigné")</f>
        <v>0.49</v>
      </c>
      <c r="F529" s="3">
        <f>D529*E529</f>
        <v>0</v>
      </c>
      <c r="H529" s="307">
        <f>_xlfn.IFNA(VLOOKUP($C529,'Facteurs d''émission'!$D$2:$I$340,4,FALSE),"Non présent dans la base")</f>
        <v>0.3</v>
      </c>
      <c r="I529" s="224"/>
      <c r="J529" s="3">
        <f>F529*(1-(1-H529)*(1-I529))</f>
        <v>0</v>
      </c>
      <c r="K529" s="7" t="str">
        <f>IF(D529*COUNTA(I529)&gt;0,"ok","")</f>
        <v/>
      </c>
      <c r="L529" s="225"/>
      <c r="M529" s="3">
        <f>L529*F529</f>
        <v>0</v>
      </c>
      <c r="O529" s="249"/>
      <c r="P529" s="250"/>
      <c r="Q529" s="250"/>
      <c r="R529" s="250"/>
      <c r="S529" s="251"/>
    </row>
    <row r="530" spans="3:19" s="7" customFormat="1">
      <c r="C530" s="14" t="s">
        <v>453</v>
      </c>
      <c r="D530" s="239"/>
      <c r="E530" s="309">
        <f>_xlfn.IFNA(VLOOKUP($C530,'Facteurs d''émission'!$D$2:$I$340,2,FALSE),"Non renseigné")</f>
        <v>1.35</v>
      </c>
      <c r="F530" s="3">
        <f t="shared" ref="F530:F541" si="152">D530*E530</f>
        <v>0</v>
      </c>
      <c r="H530" s="307">
        <f>_xlfn.IFNA(VLOOKUP($C530,'Facteurs d''émission'!$D$2:$I$340,4,FALSE),"Non présent dans la base")</f>
        <v>0.3</v>
      </c>
      <c r="I530" s="224"/>
      <c r="J530" s="3">
        <f t="shared" ref="J530:J541" si="153">F530*(1-(1-H530)*(1-I530))</f>
        <v>0</v>
      </c>
      <c r="K530" s="7" t="str">
        <f t="shared" ref="K530:K541" si="154">IF(D530*COUNTA(I530)&gt;0,"ok","")</f>
        <v/>
      </c>
      <c r="L530" s="225"/>
      <c r="M530" s="3">
        <f t="shared" ref="M530:M541" si="155">L530*F530</f>
        <v>0</v>
      </c>
      <c r="O530" s="249"/>
      <c r="P530" s="250"/>
      <c r="Q530" s="250"/>
      <c r="R530" s="250"/>
      <c r="S530" s="251"/>
    </row>
    <row r="531" spans="3:19" s="7" customFormat="1" ht="12">
      <c r="C531" s="14" t="s">
        <v>450</v>
      </c>
      <c r="D531" s="514"/>
      <c r="E531" s="309">
        <f>_xlfn.IFNA(VLOOKUP($C531,'Facteurs d''émission'!$D$2:$I$340,2,FALSE),"Non renseigné")</f>
        <v>0.41</v>
      </c>
      <c r="F531" s="3">
        <f t="shared" si="152"/>
        <v>0</v>
      </c>
      <c r="H531" s="307">
        <f>_xlfn.IFNA(VLOOKUP($C531,'Facteurs d''émission'!$D$2:$I$340,4,FALSE),"Non présent dans la base")</f>
        <v>0.3</v>
      </c>
      <c r="I531" s="224"/>
      <c r="J531" s="3">
        <f t="shared" si="153"/>
        <v>0</v>
      </c>
      <c r="K531" s="7" t="str">
        <f t="shared" si="154"/>
        <v/>
      </c>
      <c r="L531" s="225"/>
      <c r="M531" s="3">
        <f t="shared" si="155"/>
        <v>0</v>
      </c>
      <c r="O531" s="249"/>
      <c r="P531" s="250"/>
      <c r="Q531" s="250"/>
      <c r="R531" s="250"/>
      <c r="S531" s="251"/>
    </row>
    <row r="532" spans="3:19" s="7" customFormat="1">
      <c r="C532" s="14" t="s">
        <v>455</v>
      </c>
      <c r="D532" s="239"/>
      <c r="E532" s="309">
        <f>_xlfn.IFNA(VLOOKUP($C532,'Facteurs d''émission'!$D$2:$I$340,2,FALSE),"Non renseigné")</f>
        <v>0.32</v>
      </c>
      <c r="F532" s="3">
        <f t="shared" si="152"/>
        <v>0</v>
      </c>
      <c r="H532" s="307">
        <f>_xlfn.IFNA(VLOOKUP($C532,'Facteurs d''émission'!$D$2:$I$340,4,FALSE),"Non présent dans la base")</f>
        <v>0.3</v>
      </c>
      <c r="I532" s="224"/>
      <c r="J532" s="3">
        <f t="shared" si="153"/>
        <v>0</v>
      </c>
      <c r="K532" s="7" t="str">
        <f t="shared" si="154"/>
        <v/>
      </c>
      <c r="L532" s="225"/>
      <c r="M532" s="3">
        <f t="shared" si="155"/>
        <v>0</v>
      </c>
      <c r="O532" s="249"/>
      <c r="P532" s="250"/>
      <c r="Q532" s="250"/>
      <c r="R532" s="250"/>
      <c r="S532" s="251"/>
    </row>
    <row r="533" spans="3:19" s="7" customFormat="1">
      <c r="C533" s="14" t="s">
        <v>454</v>
      </c>
      <c r="D533" s="239"/>
      <c r="E533" s="348">
        <f>_xlfn.IFNA(VLOOKUP($C533,'Facteurs d''émission'!$D$2:$I$340,2,FALSE),"Non renseigné")</f>
        <v>3.4200000000000002E-4</v>
      </c>
      <c r="F533" s="3">
        <f t="shared" si="152"/>
        <v>0</v>
      </c>
      <c r="H533" s="307">
        <f>_xlfn.IFNA(VLOOKUP($C533,'Facteurs d''émission'!$D$2:$I$340,4,FALSE),"Non présent dans la base")</f>
        <v>0.3</v>
      </c>
      <c r="I533" s="224"/>
      <c r="J533" s="3">
        <f t="shared" si="153"/>
        <v>0</v>
      </c>
      <c r="K533" s="7" t="str">
        <f t="shared" si="154"/>
        <v/>
      </c>
      <c r="L533" s="225"/>
      <c r="M533" s="3">
        <f t="shared" si="155"/>
        <v>0</v>
      </c>
      <c r="O533" s="249"/>
      <c r="P533" s="250"/>
      <c r="Q533" s="250"/>
      <c r="R533" s="250"/>
      <c r="S533" s="251"/>
    </row>
    <row r="534" spans="3:19" s="7" customFormat="1">
      <c r="C534" s="14" t="s">
        <v>452</v>
      </c>
      <c r="D534" s="239"/>
      <c r="E534" s="309">
        <f>_xlfn.IFNA(VLOOKUP($C534,'Facteurs d''émission'!$D$2:$I$340,2,FALSE),"Non renseigné")</f>
        <v>1.53</v>
      </c>
      <c r="F534" s="3">
        <f t="shared" si="152"/>
        <v>0</v>
      </c>
      <c r="H534" s="307">
        <f>_xlfn.IFNA(VLOOKUP($C534,'Facteurs d''émission'!$D$2:$I$340,4,FALSE),"Non présent dans la base")</f>
        <v>0.3</v>
      </c>
      <c r="I534" s="224"/>
      <c r="J534" s="3">
        <f t="shared" si="153"/>
        <v>0</v>
      </c>
      <c r="K534" s="7" t="str">
        <f t="shared" si="154"/>
        <v/>
      </c>
      <c r="L534" s="225"/>
      <c r="M534" s="3">
        <f t="shared" si="155"/>
        <v>0</v>
      </c>
      <c r="O534" s="249"/>
      <c r="P534" s="250"/>
      <c r="Q534" s="250"/>
      <c r="R534" s="250"/>
      <c r="S534" s="251"/>
    </row>
    <row r="535" spans="3:19" s="7" customFormat="1">
      <c r="C535" s="14" t="s">
        <v>306</v>
      </c>
      <c r="D535" s="239"/>
      <c r="E535" s="309">
        <f>_xlfn.IFNA(VLOOKUP($C535,'Facteurs d''émission'!$D$2:$I$340,2,FALSE),"Non renseigné")</f>
        <v>0</v>
      </c>
      <c r="F535" s="3">
        <f t="shared" si="152"/>
        <v>0</v>
      </c>
      <c r="H535" s="307">
        <f>_xlfn.IFNA(VLOOKUP($C535,'Facteurs d''émission'!$D$2:$I$340,4,FALSE),"Non présent dans la base")</f>
        <v>0</v>
      </c>
      <c r="I535" s="224"/>
      <c r="J535" s="3">
        <f t="shared" si="153"/>
        <v>0</v>
      </c>
      <c r="K535" s="7" t="str">
        <f t="shared" si="154"/>
        <v/>
      </c>
      <c r="L535" s="225"/>
      <c r="M535" s="3">
        <f t="shared" si="155"/>
        <v>0</v>
      </c>
      <c r="O535" s="249"/>
      <c r="P535" s="250"/>
      <c r="Q535" s="250"/>
      <c r="R535" s="250"/>
      <c r="S535" s="251"/>
    </row>
    <row r="536" spans="3:19" s="7" customFormat="1">
      <c r="C536" s="14" t="s">
        <v>306</v>
      </c>
      <c r="D536" s="239"/>
      <c r="E536" s="309">
        <f>_xlfn.IFNA(VLOOKUP($C536,'Facteurs d''émission'!$D$2:$I$340,2,FALSE),"Non renseigné")</f>
        <v>0</v>
      </c>
      <c r="F536" s="3">
        <f t="shared" si="152"/>
        <v>0</v>
      </c>
      <c r="H536" s="307">
        <f>_xlfn.IFNA(VLOOKUP($C536,'Facteurs d''émission'!$D$2:$I$340,4,FALSE),"Non présent dans la base")</f>
        <v>0</v>
      </c>
      <c r="I536" s="224"/>
      <c r="J536" s="3">
        <f t="shared" si="153"/>
        <v>0</v>
      </c>
      <c r="K536" s="7" t="str">
        <f t="shared" si="154"/>
        <v/>
      </c>
      <c r="L536" s="225"/>
      <c r="M536" s="3">
        <f t="shared" si="155"/>
        <v>0</v>
      </c>
      <c r="O536" s="249"/>
      <c r="P536" s="250"/>
      <c r="Q536" s="250"/>
      <c r="R536" s="250"/>
      <c r="S536" s="251"/>
    </row>
    <row r="537" spans="3:19" s="7" customFormat="1">
      <c r="C537" s="14" t="s">
        <v>306</v>
      </c>
      <c r="D537" s="239"/>
      <c r="E537" s="309">
        <f>_xlfn.IFNA(VLOOKUP($C537,'Facteurs d''émission'!$D$2:$I$340,2,FALSE),"Non renseigné")</f>
        <v>0</v>
      </c>
      <c r="F537" s="3">
        <f t="shared" si="152"/>
        <v>0</v>
      </c>
      <c r="H537" s="307">
        <f>_xlfn.IFNA(VLOOKUP($C537,'Facteurs d''émission'!$D$2:$I$340,4,FALSE),"Non présent dans la base")</f>
        <v>0</v>
      </c>
      <c r="I537" s="224"/>
      <c r="J537" s="3">
        <f t="shared" si="153"/>
        <v>0</v>
      </c>
      <c r="K537" s="7" t="str">
        <f t="shared" si="154"/>
        <v/>
      </c>
      <c r="L537" s="225"/>
      <c r="M537" s="3">
        <f t="shared" si="155"/>
        <v>0</v>
      </c>
      <c r="O537" s="249"/>
      <c r="P537" s="250"/>
      <c r="Q537" s="250"/>
      <c r="R537" s="250"/>
      <c r="S537" s="251"/>
    </row>
    <row r="538" spans="3:19" s="7" customFormat="1">
      <c r="C538" s="14" t="s">
        <v>306</v>
      </c>
      <c r="D538" s="239"/>
      <c r="E538" s="309">
        <f>_xlfn.IFNA(VLOOKUP($C538,'Facteurs d''émission'!$D$2:$I$340,2,FALSE),"Non renseigné")</f>
        <v>0</v>
      </c>
      <c r="F538" s="3">
        <f t="shared" si="152"/>
        <v>0</v>
      </c>
      <c r="H538" s="307">
        <f>_xlfn.IFNA(VLOOKUP($C538,'Facteurs d''émission'!$D$2:$I$340,4,FALSE),"Non présent dans la base")</f>
        <v>0</v>
      </c>
      <c r="I538" s="224"/>
      <c r="J538" s="3">
        <f t="shared" si="153"/>
        <v>0</v>
      </c>
      <c r="K538" s="7" t="str">
        <f t="shared" si="154"/>
        <v/>
      </c>
      <c r="L538" s="225"/>
      <c r="M538" s="3">
        <f t="shared" si="155"/>
        <v>0</v>
      </c>
      <c r="O538" s="249"/>
      <c r="P538" s="250"/>
      <c r="Q538" s="250"/>
      <c r="R538" s="250"/>
      <c r="S538" s="251"/>
    </row>
    <row r="539" spans="3:19" s="7" customFormat="1">
      <c r="C539" s="14" t="s">
        <v>306</v>
      </c>
      <c r="D539" s="239"/>
      <c r="E539" s="309">
        <f>_xlfn.IFNA(VLOOKUP($C539,'Facteurs d''émission'!$D$2:$I$340,2,FALSE),"Non renseigné")</f>
        <v>0</v>
      </c>
      <c r="F539" s="3">
        <f t="shared" si="152"/>
        <v>0</v>
      </c>
      <c r="H539" s="307">
        <f>_xlfn.IFNA(VLOOKUP($C539,'Facteurs d''émission'!$D$2:$I$340,4,FALSE),"Non présent dans la base")</f>
        <v>0</v>
      </c>
      <c r="I539" s="224"/>
      <c r="J539" s="3">
        <f t="shared" si="153"/>
        <v>0</v>
      </c>
      <c r="K539" s="7" t="str">
        <f t="shared" si="154"/>
        <v/>
      </c>
      <c r="L539" s="225"/>
      <c r="M539" s="3">
        <f t="shared" si="155"/>
        <v>0</v>
      </c>
      <c r="O539" s="249"/>
      <c r="P539" s="250"/>
      <c r="Q539" s="250"/>
      <c r="R539" s="250"/>
      <c r="S539" s="251"/>
    </row>
    <row r="540" spans="3:19" s="7" customFormat="1">
      <c r="C540" s="14" t="s">
        <v>306</v>
      </c>
      <c r="D540" s="239"/>
      <c r="E540" s="309">
        <f>_xlfn.IFNA(VLOOKUP($C540,'Facteurs d''émission'!$D$2:$I$340,2,FALSE),"Non renseigné")</f>
        <v>0</v>
      </c>
      <c r="F540" s="3">
        <f t="shared" si="152"/>
        <v>0</v>
      </c>
      <c r="H540" s="307">
        <f>_xlfn.IFNA(VLOOKUP($C540,'Facteurs d''émission'!$D$2:$I$340,4,FALSE),"Non présent dans la base")</f>
        <v>0</v>
      </c>
      <c r="I540" s="224"/>
      <c r="J540" s="3">
        <f t="shared" si="153"/>
        <v>0</v>
      </c>
      <c r="K540" s="7" t="str">
        <f t="shared" si="154"/>
        <v/>
      </c>
      <c r="L540" s="225"/>
      <c r="M540" s="3">
        <f t="shared" si="155"/>
        <v>0</v>
      </c>
      <c r="O540" s="249"/>
      <c r="P540" s="250"/>
      <c r="Q540" s="250"/>
      <c r="R540" s="250"/>
      <c r="S540" s="251"/>
    </row>
    <row r="541" spans="3:19" s="7" customFormat="1">
      <c r="C541" s="14" t="s">
        <v>306</v>
      </c>
      <c r="D541" s="239"/>
      <c r="E541" s="309">
        <f>_xlfn.IFNA(VLOOKUP($C541,'Facteurs d''émission'!$D$2:$I$340,2,FALSE),"Non renseigné")</f>
        <v>0</v>
      </c>
      <c r="F541" s="3">
        <f t="shared" si="152"/>
        <v>0</v>
      </c>
      <c r="H541" s="307">
        <f>_xlfn.IFNA(VLOOKUP($C541,'Facteurs d''émission'!$D$2:$I$340,4,FALSE),"Non présent dans la base")</f>
        <v>0</v>
      </c>
      <c r="I541" s="224"/>
      <c r="J541" s="3">
        <f t="shared" si="153"/>
        <v>0</v>
      </c>
      <c r="K541" s="7" t="str">
        <f t="shared" si="154"/>
        <v/>
      </c>
      <c r="L541" s="225"/>
      <c r="M541" s="3">
        <f t="shared" si="155"/>
        <v>0</v>
      </c>
      <c r="O541" s="249"/>
      <c r="P541" s="250"/>
      <c r="Q541" s="250"/>
      <c r="R541" s="250"/>
      <c r="S541" s="251"/>
    </row>
    <row r="542" spans="3:19" s="7" customFormat="1" ht="12">
      <c r="C542" s="52" t="s">
        <v>25</v>
      </c>
      <c r="D542" s="518">
        <f>SUM(D529:D541)</f>
        <v>0</v>
      </c>
      <c r="E542" s="14"/>
      <c r="F542" s="54">
        <f>SUM(F529:F541)</f>
        <v>0</v>
      </c>
      <c r="H542" s="86" t="str">
        <f>IF(COUNTA(D529:D541)&gt;COUNTIF(K529:K541,"ok"),"! Remplir une incertitude !","")</f>
        <v/>
      </c>
      <c r="I542" s="189"/>
      <c r="J542" s="51">
        <f>SUM(J529:J541)</f>
        <v>0</v>
      </c>
      <c r="K542" s="94"/>
      <c r="L542" s="14"/>
      <c r="M542" s="51">
        <f>SUM(M529:M541)</f>
        <v>0</v>
      </c>
      <c r="O542" s="2" t="str">
        <f>IF(M542&gt;0,IF(#REF!="","Attention: vous devez planifier une action afin de remplir votre objectif",""),"")</f>
        <v/>
      </c>
      <c r="P542" s="2"/>
      <c r="Q542" s="2"/>
      <c r="R542" s="2"/>
      <c r="S542" s="2"/>
    </row>
    <row r="543" spans="3:19" s="7" customFormat="1" ht="24.45" customHeight="1">
      <c r="C543" s="12"/>
      <c r="F543" s="63"/>
      <c r="J543" s="63"/>
      <c r="K543" s="94"/>
      <c r="M543" s="63"/>
      <c r="O543" s="9"/>
      <c r="P543" s="9"/>
      <c r="Q543" s="9"/>
      <c r="R543" s="9"/>
      <c r="S543" s="9"/>
    </row>
    <row r="544" spans="3:19" s="7" customFormat="1" ht="12">
      <c r="C544" s="12"/>
      <c r="E544" s="12" t="s">
        <v>324</v>
      </c>
      <c r="F544" s="63"/>
      <c r="J544" s="63"/>
      <c r="K544" s="94"/>
      <c r="M544" s="63"/>
      <c r="O544" s="9"/>
      <c r="P544" s="9"/>
      <c r="Q544" s="9"/>
      <c r="R544" s="9"/>
      <c r="S544" s="9"/>
    </row>
    <row r="545" spans="3:20" s="7" customFormat="1" ht="12.75" customHeight="1">
      <c r="C545" s="273" t="s">
        <v>179</v>
      </c>
      <c r="F545" s="63" t="s">
        <v>307</v>
      </c>
      <c r="H545" s="42" t="s">
        <v>61</v>
      </c>
      <c r="I545" s="42"/>
      <c r="J545" s="42"/>
      <c r="L545" s="62" t="s">
        <v>332</v>
      </c>
      <c r="M545" s="62"/>
      <c r="O545" s="12" t="s">
        <v>109</v>
      </c>
    </row>
    <row r="546" spans="3:20" s="7" customFormat="1" ht="12">
      <c r="C546" s="228" t="s">
        <v>117</v>
      </c>
      <c r="D546" s="228" t="s">
        <v>178</v>
      </c>
      <c r="E546" s="228" t="s">
        <v>346</v>
      </c>
      <c r="F546" s="229" t="s">
        <v>232</v>
      </c>
      <c r="H546" s="228" t="s">
        <v>286</v>
      </c>
      <c r="I546" s="228" t="s">
        <v>287</v>
      </c>
      <c r="J546" s="343" t="s">
        <v>232</v>
      </c>
      <c r="L546" s="228" t="s">
        <v>288</v>
      </c>
      <c r="M546" s="347" t="s">
        <v>232</v>
      </c>
      <c r="O546" s="609" t="s">
        <v>165</v>
      </c>
      <c r="P546" s="610"/>
      <c r="Q546" s="610"/>
      <c r="R546" s="610"/>
      <c r="S546" s="611"/>
    </row>
    <row r="547" spans="3:20" s="7" customFormat="1" ht="12">
      <c r="C547" s="55" t="s">
        <v>180</v>
      </c>
      <c r="D547" s="514">
        <v>224100</v>
      </c>
      <c r="E547" s="522">
        <f>_xlfn.IFNA(VLOOKUP($C547,'Facteurs d''émission'!$D$2:$I$340,2,FALSE),"Non renseigné")</f>
        <v>2.04</v>
      </c>
      <c r="F547" s="3">
        <f>D547*E547</f>
        <v>457164</v>
      </c>
      <c r="H547" s="307">
        <f>_xlfn.IFNA(VLOOKUP($C547,'Facteurs d''émission'!$D$2:$I$340,4,FALSE),"Non présent dans la base")</f>
        <v>0.5</v>
      </c>
      <c r="I547" s="224"/>
      <c r="J547" s="3">
        <f>F547*(1-(1-H547)*(1-I547))</f>
        <v>228582</v>
      </c>
      <c r="K547" s="7" t="str">
        <f>IF(D547*E547*H547*COUNTA(I547)&gt;0,"ok","")</f>
        <v/>
      </c>
      <c r="L547" s="225"/>
      <c r="M547" s="3">
        <f>L547*D547*E547</f>
        <v>0</v>
      </c>
      <c r="O547" s="249"/>
      <c r="P547" s="250"/>
      <c r="Q547" s="250"/>
      <c r="R547" s="250"/>
      <c r="S547" s="251"/>
    </row>
    <row r="548" spans="3:20" s="7" customFormat="1" ht="12">
      <c r="C548" s="55" t="s">
        <v>181</v>
      </c>
      <c r="D548" s="514"/>
      <c r="E548" s="522">
        <f>_xlfn.IFNA(VLOOKUP($C548,'Facteurs d''émission'!$D$2:$I$340,2,FALSE),"Non renseigné")</f>
        <v>0.51</v>
      </c>
      <c r="F548" s="3">
        <f t="shared" ref="F548:F556" si="156">D548*E548</f>
        <v>0</v>
      </c>
      <c r="H548" s="307">
        <f>_xlfn.IFNA(VLOOKUP($C548,'Facteurs d''émission'!$D$2:$I$340,4,FALSE),"Non présent dans la base")</f>
        <v>0.5</v>
      </c>
      <c r="I548" s="224"/>
      <c r="J548" s="3">
        <f t="shared" ref="J548:J556" si="157">F548*(1-(1-H548)*(1-I548))</f>
        <v>0</v>
      </c>
      <c r="K548" s="7" t="str">
        <f t="shared" ref="K548:K556" si="158">IF(D548*E548*H548*COUNTA(I548)&gt;0,"ok","")</f>
        <v/>
      </c>
      <c r="L548" s="225"/>
      <c r="M548" s="3">
        <f t="shared" ref="M548:M556" si="159">L548*D548*E548</f>
        <v>0</v>
      </c>
      <c r="O548" s="249"/>
      <c r="P548" s="250"/>
      <c r="Q548" s="250"/>
      <c r="R548" s="250"/>
      <c r="S548" s="251"/>
    </row>
    <row r="549" spans="3:20" s="7" customFormat="1" ht="12">
      <c r="C549" s="55" t="s">
        <v>421</v>
      </c>
      <c r="D549" s="514"/>
      <c r="E549" s="522">
        <f>_xlfn.IFNA(VLOOKUP($C549,'Facteurs d''émission'!$D$2:$I$340,2,FALSE),"Non renseigné")</f>
        <v>7.26</v>
      </c>
      <c r="F549" s="3">
        <f t="shared" si="156"/>
        <v>0</v>
      </c>
      <c r="H549" s="307">
        <f>_xlfn.IFNA(VLOOKUP($C549,'Facteurs d''émission'!$D$2:$I$340,4,FALSE),"Non présent dans la base")</f>
        <v>0.5</v>
      </c>
      <c r="I549" s="224"/>
      <c r="J549" s="3">
        <f t="shared" si="157"/>
        <v>0</v>
      </c>
      <c r="K549" s="7" t="str">
        <f t="shared" si="158"/>
        <v/>
      </c>
      <c r="L549" s="225"/>
      <c r="M549" s="3">
        <f t="shared" si="159"/>
        <v>0</v>
      </c>
      <c r="O549" s="249"/>
      <c r="P549" s="250"/>
      <c r="Q549" s="250"/>
      <c r="R549" s="250"/>
      <c r="S549" s="251"/>
    </row>
    <row r="550" spans="3:20" s="7" customFormat="1" ht="12">
      <c r="C550" s="55" t="s">
        <v>422</v>
      </c>
      <c r="D550" s="514"/>
      <c r="E550" s="522">
        <f>_xlfn.IFNA(VLOOKUP($C550,'Facteurs d''émission'!$D$2:$I$340,2,FALSE),"Non renseigné")</f>
        <v>1.58</v>
      </c>
      <c r="F550" s="3">
        <f t="shared" si="156"/>
        <v>0</v>
      </c>
      <c r="H550" s="307">
        <f>_xlfn.IFNA(VLOOKUP($C550,'Facteurs d''émission'!$D$2:$I$340,4,FALSE),"Non présent dans la base")</f>
        <v>0.5</v>
      </c>
      <c r="I550" s="224"/>
      <c r="J550" s="3">
        <f t="shared" si="157"/>
        <v>0</v>
      </c>
      <c r="K550" s="7" t="str">
        <f t="shared" si="158"/>
        <v/>
      </c>
      <c r="L550" s="225"/>
      <c r="M550" s="3">
        <f t="shared" si="159"/>
        <v>0</v>
      </c>
      <c r="O550" s="249"/>
      <c r="P550" s="250"/>
      <c r="Q550" s="250"/>
      <c r="R550" s="250"/>
      <c r="S550" s="251"/>
    </row>
    <row r="551" spans="3:20" s="7" customFormat="1" ht="12">
      <c r="C551" s="55" t="s">
        <v>306</v>
      </c>
      <c r="D551" s="514"/>
      <c r="E551" s="522">
        <f>_xlfn.IFNA(VLOOKUP($C551,'Facteurs d''émission'!$D$2:$I$340,2,FALSE),"Non renseigné")</f>
        <v>0</v>
      </c>
      <c r="F551" s="3">
        <f t="shared" si="156"/>
        <v>0</v>
      </c>
      <c r="H551" s="307">
        <f>_xlfn.IFNA(VLOOKUP($C551,'Facteurs d''émission'!$D$2:$I$340,4,FALSE),"Non présent dans la base")</f>
        <v>0</v>
      </c>
      <c r="I551" s="224"/>
      <c r="J551" s="3">
        <f t="shared" si="157"/>
        <v>0</v>
      </c>
      <c r="K551" s="7" t="str">
        <f t="shared" si="158"/>
        <v/>
      </c>
      <c r="L551" s="225"/>
      <c r="M551" s="3">
        <f t="shared" si="159"/>
        <v>0</v>
      </c>
      <c r="O551" s="249"/>
      <c r="P551" s="250"/>
      <c r="Q551" s="250"/>
      <c r="R551" s="250"/>
      <c r="S551" s="251"/>
    </row>
    <row r="552" spans="3:20" s="7" customFormat="1" ht="12">
      <c r="C552" s="55" t="s">
        <v>306</v>
      </c>
      <c r="D552" s="514"/>
      <c r="E552" s="522">
        <f>_xlfn.IFNA(VLOOKUP($C552,'Facteurs d''émission'!$D$2:$I$340,2,FALSE),"Non renseigné")</f>
        <v>0</v>
      </c>
      <c r="F552" s="3">
        <f t="shared" si="156"/>
        <v>0</v>
      </c>
      <c r="H552" s="307">
        <f>_xlfn.IFNA(VLOOKUP($C552,'Facteurs d''émission'!$D$2:$I$340,4,FALSE),"Non présent dans la base")</f>
        <v>0</v>
      </c>
      <c r="I552" s="224"/>
      <c r="J552" s="3">
        <f t="shared" si="157"/>
        <v>0</v>
      </c>
      <c r="K552" s="7" t="str">
        <f t="shared" si="158"/>
        <v/>
      </c>
      <c r="L552" s="225"/>
      <c r="M552" s="3">
        <f t="shared" si="159"/>
        <v>0</v>
      </c>
      <c r="O552" s="249"/>
      <c r="P552" s="250"/>
      <c r="Q552" s="250"/>
      <c r="R552" s="250"/>
      <c r="S552" s="251"/>
    </row>
    <row r="553" spans="3:20" s="7" customFormat="1" ht="12">
      <c r="C553" s="55" t="s">
        <v>306</v>
      </c>
      <c r="D553" s="514"/>
      <c r="E553" s="522">
        <f>_xlfn.IFNA(VLOOKUP($C553,'Facteurs d''émission'!$D$2:$I$340,2,FALSE),"Non renseigné")</f>
        <v>0</v>
      </c>
      <c r="F553" s="3">
        <f t="shared" si="156"/>
        <v>0</v>
      </c>
      <c r="H553" s="307">
        <f>_xlfn.IFNA(VLOOKUP($C553,'Facteurs d''émission'!$D$2:$I$340,4,FALSE),"Non présent dans la base")</f>
        <v>0</v>
      </c>
      <c r="I553" s="224"/>
      <c r="J553" s="3">
        <f t="shared" si="157"/>
        <v>0</v>
      </c>
      <c r="K553" s="7" t="str">
        <f t="shared" si="158"/>
        <v/>
      </c>
      <c r="L553" s="225"/>
      <c r="M553" s="3">
        <f t="shared" si="159"/>
        <v>0</v>
      </c>
      <c r="O553" s="249"/>
      <c r="P553" s="250"/>
      <c r="Q553" s="250"/>
      <c r="R553" s="250"/>
      <c r="S553" s="251"/>
    </row>
    <row r="554" spans="3:20" s="7" customFormat="1" ht="12">
      <c r="C554" s="55" t="s">
        <v>306</v>
      </c>
      <c r="D554" s="514"/>
      <c r="E554" s="522">
        <f>_xlfn.IFNA(VLOOKUP($C554,'Facteurs d''émission'!$D$2:$I$340,2,FALSE),"Non renseigné")</f>
        <v>0</v>
      </c>
      <c r="F554" s="3">
        <f t="shared" si="156"/>
        <v>0</v>
      </c>
      <c r="H554" s="307">
        <f>_xlfn.IFNA(VLOOKUP($C554,'Facteurs d''émission'!$D$2:$I$340,4,FALSE),"Non présent dans la base")</f>
        <v>0</v>
      </c>
      <c r="I554" s="224"/>
      <c r="J554" s="3">
        <f t="shared" si="157"/>
        <v>0</v>
      </c>
      <c r="K554" s="7" t="str">
        <f t="shared" si="158"/>
        <v/>
      </c>
      <c r="L554" s="225"/>
      <c r="M554" s="3">
        <f t="shared" si="159"/>
        <v>0</v>
      </c>
      <c r="O554" s="249"/>
      <c r="P554" s="250"/>
      <c r="Q554" s="250"/>
      <c r="R554" s="250"/>
      <c r="S554" s="251"/>
    </row>
    <row r="555" spans="3:20" s="7" customFormat="1" ht="12">
      <c r="C555" s="55" t="s">
        <v>306</v>
      </c>
      <c r="D555" s="514"/>
      <c r="E555" s="522">
        <f>_xlfn.IFNA(VLOOKUP($C555,'Facteurs d''émission'!$D$2:$I$340,2,FALSE),"Non renseigné")</f>
        <v>0</v>
      </c>
      <c r="F555" s="3">
        <f t="shared" si="156"/>
        <v>0</v>
      </c>
      <c r="H555" s="307">
        <f>_xlfn.IFNA(VLOOKUP($C555,'Facteurs d''émission'!$D$2:$I$340,4,FALSE),"Non présent dans la base")</f>
        <v>0</v>
      </c>
      <c r="I555" s="224"/>
      <c r="J555" s="3">
        <f t="shared" si="157"/>
        <v>0</v>
      </c>
      <c r="K555" s="7" t="str">
        <f t="shared" si="158"/>
        <v/>
      </c>
      <c r="L555" s="225"/>
      <c r="M555" s="3">
        <f t="shared" si="159"/>
        <v>0</v>
      </c>
      <c r="O555" s="249"/>
      <c r="P555" s="250"/>
      <c r="Q555" s="250"/>
      <c r="R555" s="250"/>
      <c r="S555" s="251"/>
    </row>
    <row r="556" spans="3:20" s="7" customFormat="1" ht="12">
      <c r="C556" s="55" t="s">
        <v>306</v>
      </c>
      <c r="D556" s="514"/>
      <c r="E556" s="522">
        <f>_xlfn.IFNA(VLOOKUP($C556,'Facteurs d''émission'!$D$2:$I$340,2,FALSE),"Non renseigné")</f>
        <v>0</v>
      </c>
      <c r="F556" s="3">
        <f t="shared" si="156"/>
        <v>0</v>
      </c>
      <c r="H556" s="307">
        <f>_xlfn.IFNA(VLOOKUP($C556,'Facteurs d''émission'!$D$2:$I$340,4,FALSE),"Non présent dans la base")</f>
        <v>0</v>
      </c>
      <c r="I556" s="224"/>
      <c r="J556" s="3">
        <f t="shared" si="157"/>
        <v>0</v>
      </c>
      <c r="K556" s="7" t="str">
        <f t="shared" si="158"/>
        <v/>
      </c>
      <c r="L556" s="225"/>
      <c r="M556" s="3">
        <f t="shared" si="159"/>
        <v>0</v>
      </c>
      <c r="O556" s="249"/>
      <c r="P556" s="250"/>
      <c r="Q556" s="250"/>
      <c r="R556" s="250"/>
      <c r="S556" s="251"/>
    </row>
    <row r="557" spans="3:20" s="7" customFormat="1" ht="12">
      <c r="C557" s="52" t="s">
        <v>25</v>
      </c>
      <c r="D557" s="518">
        <f>SUM(D547:D556)</f>
        <v>224100</v>
      </c>
      <c r="E557" s="14"/>
      <c r="F557" s="54">
        <f>SUM(F547:F556)</f>
        <v>457164</v>
      </c>
      <c r="H557" s="86" t="str">
        <f>IF(COUNTA(D547:D556)&gt;COUNTIF(K547:K556,"ok"),"! Remplir une incertitude !","")</f>
        <v>! Remplir une incertitude !</v>
      </c>
      <c r="I557" s="189"/>
      <c r="J557" s="54">
        <f>SUM(J547:J556)</f>
        <v>228582</v>
      </c>
      <c r="L557" s="55"/>
      <c r="M557" s="54">
        <f>SUM(M547:M556)</f>
        <v>0</v>
      </c>
      <c r="O557" s="190" t="str">
        <f>IF(M557&gt;0,IF(#REF!="","Attention: vous devez planifier une action afin de remplir votre objectif",""),"")</f>
        <v/>
      </c>
      <c r="P557" s="191"/>
      <c r="Q557" s="191"/>
      <c r="R557" s="191"/>
      <c r="S557" s="192"/>
    </row>
    <row r="558" spans="3:20" s="7" customFormat="1" ht="12">
      <c r="C558" s="12"/>
      <c r="G558" s="63"/>
      <c r="K558" s="63"/>
      <c r="N558" s="63"/>
      <c r="P558" s="9"/>
      <c r="Q558" s="9"/>
      <c r="R558" s="9"/>
      <c r="S558" s="9"/>
      <c r="T558" s="9"/>
    </row>
    <row r="559" spans="3:20" s="7" customFormat="1" ht="12">
      <c r="C559" s="12"/>
      <c r="G559" s="63"/>
      <c r="K559" s="63"/>
      <c r="N559" s="63"/>
      <c r="P559" s="9"/>
      <c r="Q559" s="9"/>
      <c r="R559" s="9"/>
      <c r="S559" s="9"/>
      <c r="T559" s="9"/>
    </row>
    <row r="560" spans="3:20" s="7" customFormat="1" ht="12">
      <c r="C560" s="12"/>
      <c r="G560" s="63"/>
      <c r="K560" s="63"/>
      <c r="L560" s="94"/>
      <c r="N560" s="63"/>
      <c r="P560" s="9"/>
      <c r="Q560" s="9"/>
      <c r="R560" s="9"/>
      <c r="S560" s="9"/>
      <c r="T560" s="9"/>
    </row>
    <row r="561" spans="1:16" s="7" customFormat="1">
      <c r="G561" s="11"/>
      <c r="K561" s="11"/>
      <c r="N561" s="11"/>
    </row>
    <row r="562" spans="1:16" s="65" customFormat="1" ht="15.6">
      <c r="A562" s="64"/>
      <c r="B562" s="64"/>
      <c r="C562" s="635" t="s">
        <v>157</v>
      </c>
      <c r="D562" s="635"/>
      <c r="E562" s="635"/>
      <c r="F562" s="635"/>
      <c r="G562" s="635"/>
      <c r="H562" s="635"/>
      <c r="I562" s="635"/>
      <c r="J562" s="635"/>
      <c r="K562" s="635"/>
      <c r="L562" s="20"/>
      <c r="N562" s="111"/>
    </row>
    <row r="563" spans="1:16" s="65" customFormat="1" ht="12" customHeight="1">
      <c r="A563" s="64"/>
      <c r="B563" s="64"/>
      <c r="C563" s="13"/>
      <c r="D563" s="13"/>
      <c r="E563" s="13"/>
      <c r="F563" s="13"/>
      <c r="G563" s="135"/>
      <c r="H563" s="13"/>
      <c r="I563" s="13"/>
      <c r="J563" s="13"/>
      <c r="K563" s="135"/>
      <c r="L563" s="13"/>
      <c r="M563" s="13"/>
      <c r="N563" s="153"/>
    </row>
    <row r="564" spans="1:16" s="64" customFormat="1" ht="12.75" customHeight="1">
      <c r="A564" s="65"/>
      <c r="B564" s="65"/>
      <c r="C564" s="12" t="s">
        <v>134</v>
      </c>
      <c r="D564" s="13" t="s">
        <v>19</v>
      </c>
      <c r="E564" s="13"/>
      <c r="F564" s="63"/>
      <c r="H564" s="62" t="s">
        <v>61</v>
      </c>
      <c r="I564" s="62"/>
      <c r="J564" s="62"/>
      <c r="K564" s="12"/>
      <c r="L564" s="12" t="s">
        <v>111</v>
      </c>
      <c r="M564" s="7"/>
      <c r="N564" s="7"/>
      <c r="O564" s="13" t="s">
        <v>12</v>
      </c>
    </row>
    <row r="565" spans="1:16" s="65" customFormat="1">
      <c r="A565" s="64"/>
      <c r="B565" s="64"/>
      <c r="C565" s="349"/>
      <c r="D565" s="350" t="s">
        <v>232</v>
      </c>
      <c r="E565" s="345" t="s">
        <v>304</v>
      </c>
      <c r="F565" s="351" t="s">
        <v>66</v>
      </c>
      <c r="H565" s="345" t="s">
        <v>232</v>
      </c>
      <c r="I565" s="345" t="s">
        <v>304</v>
      </c>
      <c r="J565" s="345" t="s">
        <v>49</v>
      </c>
      <c r="L565" s="345" t="s">
        <v>232</v>
      </c>
      <c r="M565" s="351" t="s">
        <v>304</v>
      </c>
      <c r="N565" s="345" t="s">
        <v>48</v>
      </c>
      <c r="O565" s="345" t="s">
        <v>304</v>
      </c>
    </row>
    <row r="566" spans="1:16" s="65" customFormat="1">
      <c r="C566" s="67" t="s">
        <v>82</v>
      </c>
      <c r="D566" s="68">
        <f>F490</f>
        <v>0</v>
      </c>
      <c r="E566" s="117">
        <f>D566/1000</f>
        <v>0</v>
      </c>
      <c r="F566" s="155">
        <f>IF($E$569=0,"",$E$566/$E$569)</f>
        <v>0</v>
      </c>
      <c r="H566" s="69">
        <f>J490</f>
        <v>0</v>
      </c>
      <c r="I566" s="117">
        <f>H566/1000</f>
        <v>0</v>
      </c>
      <c r="J566" s="112" t="str">
        <f>IF(D566=0,"",H566/D566)</f>
        <v/>
      </c>
      <c r="L566" s="69">
        <f>M490</f>
        <v>0</v>
      </c>
      <c r="M566" s="69">
        <f>L566/1000</f>
        <v>0</v>
      </c>
      <c r="N566" s="118" t="str">
        <f>IF($D566=0,"",L566/$D566)</f>
        <v/>
      </c>
      <c r="O566" s="72">
        <f>E566-M566</f>
        <v>0</v>
      </c>
    </row>
    <row r="567" spans="1:16" s="65" customFormat="1">
      <c r="C567" s="73" t="s">
        <v>158</v>
      </c>
      <c r="D567" s="74">
        <f>F523</f>
        <v>0</v>
      </c>
      <c r="E567" s="117">
        <f>D567/1000</f>
        <v>0</v>
      </c>
      <c r="F567" s="155">
        <f>IF($E$569=0,"",$E$568/$E$569)</f>
        <v>1</v>
      </c>
      <c r="H567" s="69">
        <f>J523</f>
        <v>0</v>
      </c>
      <c r="I567" s="117">
        <f>H567/1000</f>
        <v>0</v>
      </c>
      <c r="J567" s="112" t="str">
        <f>IF(D567=0,"",H567/D567)</f>
        <v/>
      </c>
      <c r="L567" s="69">
        <f>M523</f>
        <v>0</v>
      </c>
      <c r="M567" s="69">
        <f>L567/1000</f>
        <v>0</v>
      </c>
      <c r="N567" s="118" t="str">
        <f>IF($D567=0,"",L567/$D567)</f>
        <v/>
      </c>
      <c r="O567" s="72">
        <f>E567-M567</f>
        <v>0</v>
      </c>
    </row>
    <row r="568" spans="1:16" s="65" customFormat="1">
      <c r="C568" s="288" t="s">
        <v>352</v>
      </c>
      <c r="D568" s="74">
        <f>F557</f>
        <v>457164</v>
      </c>
      <c r="E568" s="117">
        <f>D568/1000</f>
        <v>457.16399999999999</v>
      </c>
      <c r="F568" s="155">
        <f>IF($E$569=0,"",$E$568/$E$569)</f>
        <v>1</v>
      </c>
      <c r="H568" s="69">
        <f>J557</f>
        <v>228582</v>
      </c>
      <c r="I568" s="117">
        <f>H568/1000</f>
        <v>228.58199999999999</v>
      </c>
      <c r="J568" s="112">
        <f>IF(D568=0,"",H568/D568)</f>
        <v>0.5</v>
      </c>
      <c r="L568" s="69">
        <f>M557</f>
        <v>0</v>
      </c>
      <c r="M568" s="69">
        <f>L568/1000</f>
        <v>0</v>
      </c>
      <c r="N568" s="118">
        <f>IF($D568=0,"",L568/$D568)</f>
        <v>0</v>
      </c>
      <c r="O568" s="72">
        <f>E568-M568</f>
        <v>457.16399999999999</v>
      </c>
    </row>
    <row r="569" spans="1:16" s="64" customFormat="1" ht="12">
      <c r="C569" s="52" t="s">
        <v>25</v>
      </c>
      <c r="D569" s="54">
        <f>SUM(D566:D568)</f>
        <v>457164</v>
      </c>
      <c r="E569" s="54">
        <f>SUM(E566:E568)</f>
        <v>457.16399999999999</v>
      </c>
      <c r="F569" s="75">
        <f>SUM(F566:F568)</f>
        <v>2</v>
      </c>
      <c r="H569" s="51">
        <f>SUM(H566:H568)</f>
        <v>228582</v>
      </c>
      <c r="I569" s="54">
        <f>SUM(I566:I568)</f>
        <v>228.58199999999999</v>
      </c>
      <c r="J569" s="75">
        <f>IF(D569=0,"",H569/D569)</f>
        <v>0.5</v>
      </c>
      <c r="K569" s="12"/>
      <c r="L569" s="51">
        <f>SUM(L566:L568)</f>
        <v>0</v>
      </c>
      <c r="M569" s="51">
        <f>SUM(M566:M568)</f>
        <v>0</v>
      </c>
      <c r="N569" s="77">
        <f>IF($D569=0,"",L569/$D569)</f>
        <v>0</v>
      </c>
      <c r="O569" s="78">
        <f>SUM(O566:O568)</f>
        <v>457.16399999999999</v>
      </c>
    </row>
    <row r="570" spans="1:16" s="64" customFormat="1" ht="12">
      <c r="A570" s="65"/>
      <c r="B570" s="65"/>
      <c r="C570" s="65"/>
      <c r="D570" s="65"/>
      <c r="E570" s="65"/>
      <c r="F570" s="65"/>
      <c r="G570" s="111"/>
      <c r="H570" s="65"/>
      <c r="I570" s="12"/>
      <c r="J570" s="12"/>
      <c r="K570" s="63"/>
      <c r="L570" s="12"/>
      <c r="M570" s="76"/>
      <c r="N570" s="63"/>
      <c r="O570" s="12"/>
      <c r="P570" s="12"/>
    </row>
    <row r="571" spans="1:16" s="64" customFormat="1">
      <c r="G571" s="87"/>
      <c r="K571" s="87"/>
      <c r="N571" s="87"/>
    </row>
    <row r="572" spans="1:16" s="7" customFormat="1">
      <c r="G572" s="11"/>
      <c r="K572" s="11"/>
      <c r="N572" s="11"/>
    </row>
    <row r="573" spans="1:16" s="7" customFormat="1">
      <c r="G573" s="11"/>
      <c r="K573" s="11"/>
      <c r="N573" s="11"/>
    </row>
    <row r="574" spans="1:16" s="7" customFormat="1">
      <c r="G574" s="11"/>
      <c r="K574" s="11"/>
      <c r="N574" s="11"/>
    </row>
    <row r="575" spans="1:16" s="7" customFormat="1">
      <c r="G575" s="11"/>
      <c r="K575" s="11"/>
      <c r="N575" s="11"/>
    </row>
    <row r="576" spans="1:16" s="7" customFormat="1">
      <c r="G576" s="11"/>
      <c r="K576" s="11"/>
      <c r="N576" s="11"/>
    </row>
    <row r="577" spans="7:14" s="7" customFormat="1">
      <c r="G577" s="11"/>
      <c r="K577" s="11"/>
      <c r="N577" s="11"/>
    </row>
    <row r="578" spans="7:14" s="7" customFormat="1">
      <c r="G578" s="11"/>
      <c r="K578" s="11"/>
      <c r="N578" s="11"/>
    </row>
    <row r="579" spans="7:14" s="7" customFormat="1">
      <c r="G579" s="11"/>
      <c r="K579" s="11"/>
      <c r="N579" s="11"/>
    </row>
    <row r="580" spans="7:14" s="7" customFormat="1">
      <c r="G580" s="11"/>
      <c r="K580" s="11"/>
      <c r="N580" s="11"/>
    </row>
    <row r="581" spans="7:14" s="7" customFormat="1">
      <c r="G581" s="11"/>
      <c r="K581" s="11"/>
      <c r="N581" s="11"/>
    </row>
    <row r="582" spans="7:14" s="7" customFormat="1">
      <c r="G582" s="11"/>
      <c r="K582" s="11"/>
      <c r="N582" s="11"/>
    </row>
    <row r="583" spans="7:14" s="7" customFormat="1">
      <c r="G583" s="11"/>
      <c r="K583" s="11"/>
      <c r="N583" s="11"/>
    </row>
    <row r="584" spans="7:14" s="7" customFormat="1">
      <c r="G584" s="11"/>
      <c r="K584" s="11"/>
      <c r="N584" s="11"/>
    </row>
    <row r="585" spans="7:14" s="7" customFormat="1">
      <c r="G585" s="11"/>
      <c r="K585" s="11"/>
      <c r="N585" s="11"/>
    </row>
    <row r="586" spans="7:14" s="7" customFormat="1">
      <c r="G586" s="11"/>
      <c r="K586" s="11"/>
      <c r="N586" s="11"/>
    </row>
    <row r="587" spans="7:14" s="7" customFormat="1" ht="11.25" customHeight="1">
      <c r="G587" s="11"/>
      <c r="K587" s="11"/>
      <c r="N587" s="11"/>
    </row>
    <row r="588" spans="7:14" s="7" customFormat="1" ht="11.25" customHeight="1">
      <c r="G588" s="11"/>
      <c r="K588" s="11"/>
      <c r="N588" s="11"/>
    </row>
    <row r="589" spans="7:14" s="7" customFormat="1" ht="11.25" customHeight="1">
      <c r="G589" s="11"/>
      <c r="K589" s="11"/>
      <c r="N589" s="11"/>
    </row>
    <row r="590" spans="7:14" s="7" customFormat="1" ht="11.25" customHeight="1">
      <c r="G590" s="11"/>
      <c r="K590" s="11"/>
      <c r="N590" s="11"/>
    </row>
    <row r="591" spans="7:14" s="7" customFormat="1" ht="11.25" customHeight="1">
      <c r="G591" s="11"/>
      <c r="K591" s="11"/>
      <c r="N591" s="11"/>
    </row>
    <row r="592" spans="7:14" s="7" customFormat="1" ht="11.25" customHeight="1">
      <c r="G592" s="11"/>
      <c r="K592" s="11"/>
      <c r="N592" s="11"/>
    </row>
    <row r="593" spans="7:14" s="7" customFormat="1" ht="11.25" customHeight="1">
      <c r="G593" s="11"/>
      <c r="K593" s="11"/>
      <c r="N593" s="11"/>
    </row>
    <row r="594" spans="7:14" s="7" customFormat="1" ht="11.25" customHeight="1">
      <c r="G594" s="11"/>
      <c r="K594" s="11"/>
      <c r="N594" s="11"/>
    </row>
    <row r="595" spans="7:14" s="7" customFormat="1" ht="11.25" customHeight="1">
      <c r="G595" s="11"/>
      <c r="K595" s="11"/>
      <c r="N595" s="11"/>
    </row>
    <row r="596" spans="7:14" s="7" customFormat="1">
      <c r="G596" s="11"/>
      <c r="K596" s="11"/>
      <c r="N596" s="11"/>
    </row>
    <row r="597" spans="7:14" s="7" customFormat="1">
      <c r="G597" s="11"/>
      <c r="K597" s="11"/>
      <c r="N597" s="11"/>
    </row>
    <row r="598" spans="7:14" s="7" customFormat="1">
      <c r="G598" s="11"/>
      <c r="K598" s="11"/>
      <c r="N598" s="11"/>
    </row>
    <row r="599" spans="7:14" s="7" customFormat="1">
      <c r="G599" s="11"/>
      <c r="K599" s="11"/>
      <c r="N599" s="11"/>
    </row>
    <row r="600" spans="7:14" s="7" customFormat="1">
      <c r="G600" s="11"/>
      <c r="K600" s="11"/>
      <c r="N600" s="11"/>
    </row>
    <row r="601" spans="7:14" s="7" customFormat="1">
      <c r="G601" s="11"/>
      <c r="K601" s="11"/>
      <c r="N601" s="11"/>
    </row>
    <row r="602" spans="7:14" s="7" customFormat="1">
      <c r="G602" s="11"/>
      <c r="K602" s="11"/>
      <c r="N602" s="11"/>
    </row>
    <row r="603" spans="7:14" s="7" customFormat="1">
      <c r="G603" s="11"/>
      <c r="K603" s="11"/>
      <c r="N603" s="11"/>
    </row>
    <row r="604" spans="7:14" s="7" customFormat="1">
      <c r="G604" s="11"/>
      <c r="K604" s="11"/>
      <c r="N604" s="11"/>
    </row>
    <row r="605" spans="7:14" s="7" customFormat="1">
      <c r="G605" s="11"/>
      <c r="K605" s="11"/>
      <c r="N605" s="11"/>
    </row>
    <row r="606" spans="7:14" s="7" customFormat="1">
      <c r="G606" s="11"/>
      <c r="K606" s="11"/>
      <c r="N606" s="11"/>
    </row>
    <row r="607" spans="7:14" s="7" customFormat="1">
      <c r="G607" s="11"/>
      <c r="K607" s="11"/>
      <c r="N607" s="11"/>
    </row>
    <row r="608" spans="7:14" s="7" customFormat="1">
      <c r="G608" s="11"/>
      <c r="K608" s="11"/>
      <c r="N608" s="11"/>
    </row>
    <row r="609" spans="3:20" s="7" customFormat="1">
      <c r="G609" s="11"/>
      <c r="K609" s="11"/>
      <c r="N609" s="11"/>
    </row>
    <row r="610" spans="3:20" s="7" customFormat="1" ht="22.8">
      <c r="C610" s="639" t="s">
        <v>70</v>
      </c>
      <c r="D610" s="639"/>
      <c r="E610" s="639"/>
      <c r="F610" s="639"/>
      <c r="G610" s="639"/>
      <c r="H610" s="639"/>
      <c r="I610" s="639"/>
      <c r="J610" s="639"/>
      <c r="K610" s="640"/>
      <c r="L610" s="640"/>
      <c r="N610" s="11"/>
    </row>
    <row r="611" spans="3:20" s="7" customFormat="1" ht="24" customHeight="1">
      <c r="G611" s="11"/>
      <c r="K611" s="11"/>
      <c r="N611" s="11"/>
    </row>
    <row r="612" spans="3:20" s="7" customFormat="1" ht="12">
      <c r="E612" s="12" t="s">
        <v>325</v>
      </c>
      <c r="G612" s="11"/>
      <c r="K612" s="11"/>
      <c r="N612" s="11"/>
    </row>
    <row r="613" spans="3:20" s="7" customFormat="1">
      <c r="G613" s="11"/>
      <c r="K613" s="11"/>
      <c r="N613" s="11"/>
    </row>
    <row r="614" spans="3:20" s="7" customFormat="1" ht="12">
      <c r="C614" s="272" t="s">
        <v>159</v>
      </c>
      <c r="G614" s="63" t="s">
        <v>307</v>
      </c>
      <c r="I614" s="572" t="s">
        <v>61</v>
      </c>
      <c r="J614" s="572"/>
      <c r="K614" s="572"/>
      <c r="M614" s="553" t="s">
        <v>332</v>
      </c>
      <c r="N614" s="553"/>
      <c r="P614" s="12" t="s">
        <v>109</v>
      </c>
    </row>
    <row r="615" spans="3:20" s="7" customFormat="1" ht="12">
      <c r="C615" s="228" t="s">
        <v>105</v>
      </c>
      <c r="D615" s="228" t="s">
        <v>347</v>
      </c>
      <c r="E615" s="228" t="s">
        <v>335</v>
      </c>
      <c r="F615"/>
      <c r="G615" s="229" t="s">
        <v>232</v>
      </c>
      <c r="I615" s="228" t="s">
        <v>286</v>
      </c>
      <c r="J615" s="228" t="s">
        <v>287</v>
      </c>
      <c r="K615" s="343" t="s">
        <v>232</v>
      </c>
      <c r="M615" s="228" t="s">
        <v>288</v>
      </c>
      <c r="N615" s="343" t="s">
        <v>232</v>
      </c>
      <c r="P615" s="554" t="s">
        <v>165</v>
      </c>
      <c r="Q615" s="554"/>
      <c r="R615" s="554"/>
      <c r="S615" s="554"/>
      <c r="T615" s="554"/>
    </row>
    <row r="616" spans="3:20" s="7" customFormat="1" ht="12">
      <c r="C616" s="21" t="s">
        <v>426</v>
      </c>
      <c r="D616" s="517">
        <v>0.1</v>
      </c>
      <c r="E616" s="339">
        <f>_xlfn.IFNA(VLOOKUP($C616,'Facteurs d''émission'!$D$2:$I$340,2,FALSE),"Non renseigné")</f>
        <v>140</v>
      </c>
      <c r="F616"/>
      <c r="G616" s="3">
        <f>D616*E616</f>
        <v>14</v>
      </c>
      <c r="I616" s="307">
        <f>_xlfn.IFNA(VLOOKUP($C616,'Facteurs d''émission'!$D$2:$I$340,4,FALSE),"Non présent dans la base")</f>
        <v>0.5</v>
      </c>
      <c r="J616" s="240"/>
      <c r="K616" s="3">
        <f>G616*(1-(1-I616)*(1-J616))</f>
        <v>7</v>
      </c>
      <c r="L616" s="7" t="str">
        <f>IF(D616*COUNTA(J616)&gt;0,"ok","")</f>
        <v/>
      </c>
      <c r="M616" s="225"/>
      <c r="N616" s="3">
        <f>G616*M616</f>
        <v>0</v>
      </c>
      <c r="P616" s="614"/>
      <c r="Q616" s="615"/>
      <c r="R616" s="615"/>
      <c r="S616" s="615"/>
      <c r="T616" s="616"/>
    </row>
    <row r="617" spans="3:20" s="7" customFormat="1" ht="12">
      <c r="C617" s="3" t="s">
        <v>425</v>
      </c>
      <c r="D617" s="517">
        <v>4.5</v>
      </c>
      <c r="E617" s="339">
        <f>_xlfn.IFNA(VLOOKUP($C617,'Facteurs d''émission'!$D$2:$I$340,2,FALSE),"Non renseigné")</f>
        <v>1500</v>
      </c>
      <c r="F617"/>
      <c r="G617" s="3">
        <f>D617*E617</f>
        <v>6750</v>
      </c>
      <c r="I617" s="307">
        <f>_xlfn.IFNA(VLOOKUP($C617,'Facteurs d''émission'!$D$2:$I$340,4,FALSE),"Non présent dans la base")</f>
        <v>0.2</v>
      </c>
      <c r="J617" s="240"/>
      <c r="K617" s="3">
        <f>G617*(1-(1-I617)*(1-J617))</f>
        <v>1349.9999999999998</v>
      </c>
      <c r="L617" s="7" t="str">
        <f>IF(D617*COUNTA(J617)&gt;0,"ok","")</f>
        <v/>
      </c>
      <c r="M617" s="225"/>
      <c r="N617" s="3">
        <f>G617*M617</f>
        <v>0</v>
      </c>
      <c r="P617" s="614"/>
      <c r="Q617" s="615"/>
      <c r="R617" s="615"/>
      <c r="S617" s="615"/>
      <c r="T617" s="616"/>
    </row>
    <row r="618" spans="3:20" s="7" customFormat="1" ht="12">
      <c r="C618" s="3" t="s">
        <v>424</v>
      </c>
      <c r="D618" s="517">
        <v>0.36</v>
      </c>
      <c r="E618" s="339">
        <f>_xlfn.IFNA(VLOOKUP($C618,'Facteurs d''émission'!$D$2:$I$340,2,FALSE),"Non renseigné")</f>
        <v>670</v>
      </c>
      <c r="F618"/>
      <c r="G618" s="3">
        <f>D618*E618</f>
        <v>241.2</v>
      </c>
      <c r="I618" s="307">
        <f>_xlfn.IFNA(VLOOKUP($C618,'Facteurs d''émission'!$D$2:$I$340,4,FALSE),"Non présent dans la base")</f>
        <v>0.2</v>
      </c>
      <c r="J618" s="240"/>
      <c r="K618" s="3">
        <f>G618*(1-(1-I618)*(1-J618))</f>
        <v>48.239999999999988</v>
      </c>
      <c r="L618" s="7" t="str">
        <f>IF(D618*COUNTA(J618)&gt;0,"ok","")</f>
        <v/>
      </c>
      <c r="M618" s="225"/>
      <c r="N618" s="3">
        <f>G618*M618</f>
        <v>0</v>
      </c>
      <c r="P618" s="614"/>
      <c r="Q618" s="615"/>
      <c r="R618" s="615"/>
      <c r="S618" s="615"/>
      <c r="T618" s="616"/>
    </row>
    <row r="619" spans="3:20" s="7" customFormat="1" ht="12">
      <c r="C619" s="3" t="s">
        <v>423</v>
      </c>
      <c r="D619" s="517">
        <v>2.8450000000000002</v>
      </c>
      <c r="E619" s="339">
        <f>_xlfn.IFNA(VLOOKUP($C619,'Facteurs d''émission'!$D$2:$I$340,2,FALSE),"Non renseigné")</f>
        <v>47</v>
      </c>
      <c r="F619"/>
      <c r="G619" s="3">
        <f>IF(ISNUMBER(E619),D619*E619,0)</f>
        <v>133.715</v>
      </c>
      <c r="I619" s="307">
        <f>_xlfn.IFNA(VLOOKUP($C619,'Facteurs d''émission'!$D$2:$I$340,4,FALSE),"Non présent dans la base")</f>
        <v>0.3</v>
      </c>
      <c r="J619" s="240"/>
      <c r="K619" s="3">
        <f>G619*(1-(1-I619)*(1-J619))</f>
        <v>40.114500000000007</v>
      </c>
      <c r="L619" s="7" t="str">
        <f>IF(D619*COUNTA(J619)&gt;0,"ok","")</f>
        <v/>
      </c>
      <c r="M619" s="225"/>
      <c r="N619" s="3">
        <f>G619*M619</f>
        <v>0</v>
      </c>
      <c r="P619" s="614"/>
      <c r="Q619" s="615"/>
      <c r="R619" s="615"/>
      <c r="S619" s="615"/>
      <c r="T619" s="616"/>
    </row>
    <row r="620" spans="3:20" s="7" customFormat="1" ht="12">
      <c r="C620" s="3" t="s">
        <v>306</v>
      </c>
      <c r="D620" s="517"/>
      <c r="E620" s="339">
        <f>_xlfn.IFNA(VLOOKUP($C620,'Facteurs d''émission'!$D$2:$I$340,2,FALSE),"Non renseigné")</f>
        <v>0</v>
      </c>
      <c r="F620"/>
      <c r="G620" s="3">
        <f t="shared" ref="G620:G626" si="160">IF(ISNUMBER(E620),D620*E620,0)</f>
        <v>0</v>
      </c>
      <c r="I620" s="307">
        <f>_xlfn.IFNA(VLOOKUP($C620,'Facteurs d''émission'!$D$2:$I$340,4,FALSE),"Non présent dans la base")</f>
        <v>0</v>
      </c>
      <c r="J620" s="240"/>
      <c r="K620" s="3">
        <f t="shared" ref="K620:K626" si="161">G620*(1-(1-I620)*(1-J620))</f>
        <v>0</v>
      </c>
      <c r="L620" s="7" t="str">
        <f t="shared" ref="L620:L626" si="162">IF(D620*COUNTA(J620)&gt;0,"ok","")</f>
        <v/>
      </c>
      <c r="M620" s="225"/>
      <c r="N620" s="3">
        <f t="shared" ref="N620:N626" si="163">G620*M620</f>
        <v>0</v>
      </c>
      <c r="P620" s="614"/>
      <c r="Q620" s="615"/>
      <c r="R620" s="615"/>
      <c r="S620" s="615"/>
      <c r="T620" s="616"/>
    </row>
    <row r="621" spans="3:20" s="7" customFormat="1" ht="12">
      <c r="C621" s="3" t="s">
        <v>306</v>
      </c>
      <c r="D621" s="517"/>
      <c r="E621" s="339">
        <f>_xlfn.IFNA(VLOOKUP($C621,'Facteurs d''émission'!$D$2:$I$340,2,FALSE),"Non renseigné")</f>
        <v>0</v>
      </c>
      <c r="F621"/>
      <c r="G621" s="3">
        <f t="shared" si="160"/>
        <v>0</v>
      </c>
      <c r="I621" s="307">
        <f>_xlfn.IFNA(VLOOKUP($C621,'Facteurs d''émission'!$D$2:$I$340,4,FALSE),"Non présent dans la base")</f>
        <v>0</v>
      </c>
      <c r="J621" s="240"/>
      <c r="K621" s="3">
        <f t="shared" si="161"/>
        <v>0</v>
      </c>
      <c r="L621" s="7" t="str">
        <f t="shared" si="162"/>
        <v/>
      </c>
      <c r="M621" s="225"/>
      <c r="N621" s="3">
        <f t="shared" si="163"/>
        <v>0</v>
      </c>
      <c r="P621" s="614"/>
      <c r="Q621" s="615"/>
      <c r="R621" s="615"/>
      <c r="S621" s="615"/>
      <c r="T621" s="616"/>
    </row>
    <row r="622" spans="3:20" s="7" customFormat="1" ht="12">
      <c r="C622" s="3" t="s">
        <v>306</v>
      </c>
      <c r="D622" s="517"/>
      <c r="E622" s="339">
        <f>_xlfn.IFNA(VLOOKUP($C622,'Facteurs d''émission'!$D$2:$I$340,2,FALSE),"Non renseigné")</f>
        <v>0</v>
      </c>
      <c r="F622"/>
      <c r="G622" s="3">
        <f t="shared" si="160"/>
        <v>0</v>
      </c>
      <c r="I622" s="307">
        <f>_xlfn.IFNA(VLOOKUP($C622,'Facteurs d''émission'!$D$2:$I$340,4,FALSE),"Non présent dans la base")</f>
        <v>0</v>
      </c>
      <c r="J622" s="240"/>
      <c r="K622" s="3">
        <f t="shared" si="161"/>
        <v>0</v>
      </c>
      <c r="L622" s="7" t="str">
        <f t="shared" si="162"/>
        <v/>
      </c>
      <c r="M622" s="225"/>
      <c r="N622" s="3">
        <f t="shared" si="163"/>
        <v>0</v>
      </c>
      <c r="P622" s="614"/>
      <c r="Q622" s="615"/>
      <c r="R622" s="615"/>
      <c r="S622" s="615"/>
      <c r="T622" s="616"/>
    </row>
    <row r="623" spans="3:20" s="7" customFormat="1" ht="12">
      <c r="C623" s="3" t="s">
        <v>306</v>
      </c>
      <c r="D623" s="517"/>
      <c r="E623" s="339">
        <f>_xlfn.IFNA(VLOOKUP($C623,'Facteurs d''émission'!$D$2:$I$340,2,FALSE),"Non renseigné")</f>
        <v>0</v>
      </c>
      <c r="F623"/>
      <c r="G623" s="3">
        <f t="shared" si="160"/>
        <v>0</v>
      </c>
      <c r="I623" s="307">
        <f>_xlfn.IFNA(VLOOKUP($C623,'Facteurs d''émission'!$D$2:$I$340,4,FALSE),"Non présent dans la base")</f>
        <v>0</v>
      </c>
      <c r="J623" s="240"/>
      <c r="K623" s="3">
        <f t="shared" si="161"/>
        <v>0</v>
      </c>
      <c r="L623" s="7" t="str">
        <f t="shared" si="162"/>
        <v/>
      </c>
      <c r="M623" s="225"/>
      <c r="N623" s="3">
        <f t="shared" si="163"/>
        <v>0</v>
      </c>
      <c r="P623" s="614"/>
      <c r="Q623" s="615"/>
      <c r="R623" s="615"/>
      <c r="S623" s="615"/>
      <c r="T623" s="616"/>
    </row>
    <row r="624" spans="3:20" s="7" customFormat="1" ht="12">
      <c r="C624" s="3" t="s">
        <v>306</v>
      </c>
      <c r="D624" s="517"/>
      <c r="E624" s="339">
        <f>_xlfn.IFNA(VLOOKUP($C624,'Facteurs d''émission'!$D$2:$I$340,2,FALSE),"Non renseigné")</f>
        <v>0</v>
      </c>
      <c r="F624"/>
      <c r="G624" s="3">
        <f t="shared" si="160"/>
        <v>0</v>
      </c>
      <c r="I624" s="307">
        <f>_xlfn.IFNA(VLOOKUP($C624,'Facteurs d''émission'!$D$2:$I$340,4,FALSE),"Non présent dans la base")</f>
        <v>0</v>
      </c>
      <c r="J624" s="240"/>
      <c r="K624" s="3">
        <f t="shared" si="161"/>
        <v>0</v>
      </c>
      <c r="L624" s="7" t="str">
        <f t="shared" si="162"/>
        <v/>
      </c>
      <c r="M624" s="225"/>
      <c r="N624" s="3">
        <f t="shared" si="163"/>
        <v>0</v>
      </c>
      <c r="P624" s="614"/>
      <c r="Q624" s="615"/>
      <c r="R624" s="615"/>
      <c r="S624" s="615"/>
      <c r="T624" s="616"/>
    </row>
    <row r="625" spans="3:20" s="7" customFormat="1" ht="12">
      <c r="C625" s="3" t="s">
        <v>306</v>
      </c>
      <c r="D625" s="517"/>
      <c r="E625" s="339">
        <f>_xlfn.IFNA(VLOOKUP($C625,'Facteurs d''émission'!$D$2:$I$340,2,FALSE),"Non renseigné")</f>
        <v>0</v>
      </c>
      <c r="F625"/>
      <c r="G625" s="3">
        <f t="shared" si="160"/>
        <v>0</v>
      </c>
      <c r="I625" s="307">
        <f>_xlfn.IFNA(VLOOKUP($C625,'Facteurs d''émission'!$D$2:$I$340,4,FALSE),"Non présent dans la base")</f>
        <v>0</v>
      </c>
      <c r="J625" s="240"/>
      <c r="K625" s="3">
        <f t="shared" si="161"/>
        <v>0</v>
      </c>
      <c r="L625" s="7" t="str">
        <f t="shared" si="162"/>
        <v/>
      </c>
      <c r="M625" s="225"/>
      <c r="N625" s="3">
        <f t="shared" si="163"/>
        <v>0</v>
      </c>
      <c r="P625" s="614"/>
      <c r="Q625" s="615"/>
      <c r="R625" s="615"/>
      <c r="S625" s="615"/>
      <c r="T625" s="616"/>
    </row>
    <row r="626" spans="3:20" s="7" customFormat="1" ht="12">
      <c r="C626" s="3" t="s">
        <v>306</v>
      </c>
      <c r="D626" s="517"/>
      <c r="E626" s="339">
        <f>_xlfn.IFNA(VLOOKUP($C626,'Facteurs d''émission'!$D$2:$I$340,2,FALSE),"Non renseigné")</f>
        <v>0</v>
      </c>
      <c r="F626"/>
      <c r="G626" s="3">
        <f t="shared" si="160"/>
        <v>0</v>
      </c>
      <c r="I626" s="307">
        <f>_xlfn.IFNA(VLOOKUP($C626,'Facteurs d''émission'!$D$2:$I$340,4,FALSE),"Non présent dans la base")</f>
        <v>0</v>
      </c>
      <c r="J626" s="240"/>
      <c r="K626" s="3">
        <f t="shared" si="161"/>
        <v>0</v>
      </c>
      <c r="L626" s="7" t="str">
        <f t="shared" si="162"/>
        <v/>
      </c>
      <c r="M626" s="225"/>
      <c r="N626" s="3">
        <f t="shared" si="163"/>
        <v>0</v>
      </c>
      <c r="P626" s="614"/>
      <c r="Q626" s="615"/>
      <c r="R626" s="615"/>
      <c r="S626" s="615"/>
      <c r="T626" s="616"/>
    </row>
    <row r="627" spans="3:20" s="7" customFormat="1" ht="12">
      <c r="C627" s="287" t="s">
        <v>25</v>
      </c>
      <c r="D627" s="513">
        <f>SUM(D616:D626)</f>
        <v>7.8049999999999997</v>
      </c>
      <c r="E627" s="14"/>
      <c r="F627"/>
      <c r="G627" s="51">
        <f>SUM(G616:G626)</f>
        <v>7138.915</v>
      </c>
      <c r="I627" s="570" t="str">
        <f>IF(COUNTA(D616:D626)&gt;COUNTIF(L616:L626,"ok"),"! Remplir une incertitude !","")</f>
        <v>! Remplir une incertitude !</v>
      </c>
      <c r="J627" s="571"/>
      <c r="K627" s="54">
        <f>SUM(K616:K626)</f>
        <v>1445.3544999999997</v>
      </c>
      <c r="M627" s="55"/>
      <c r="N627" s="54">
        <f>SUM(N616:N626)</f>
        <v>0</v>
      </c>
      <c r="P627" s="593" t="str">
        <f>IF(N627&gt;0,IF(#REF!="","Attention: vous devez planifier une action afin de remplir votre objectif",""),"")</f>
        <v/>
      </c>
      <c r="Q627" s="593"/>
      <c r="R627" s="593"/>
      <c r="S627" s="593"/>
      <c r="T627" s="593"/>
    </row>
    <row r="628" spans="3:20" s="7" customFormat="1" ht="12">
      <c r="C628" s="12"/>
      <c r="F628"/>
      <c r="G628" s="63"/>
      <c r="I628" s="64"/>
      <c r="J628"/>
      <c r="K628" s="63"/>
      <c r="N628" s="63"/>
      <c r="P628" s="9"/>
      <c r="Q628" s="9"/>
      <c r="R628" s="9"/>
      <c r="S628" s="9"/>
      <c r="T628" s="9"/>
    </row>
    <row r="629" spans="3:20" s="7" customFormat="1" ht="12">
      <c r="C629" s="12"/>
      <c r="F629"/>
      <c r="G629" s="63"/>
      <c r="I629" s="64"/>
      <c r="J629"/>
      <c r="K629" s="63"/>
      <c r="N629" s="63"/>
      <c r="P629" s="9"/>
      <c r="Q629" s="9"/>
      <c r="R629" s="9"/>
      <c r="S629" s="9"/>
      <c r="T629" s="9"/>
    </row>
    <row r="630" spans="3:20" s="7" customFormat="1" ht="12">
      <c r="C630" s="12"/>
      <c r="F630"/>
      <c r="G630" s="63"/>
      <c r="I630" s="64"/>
      <c r="J630"/>
      <c r="K630" s="63"/>
      <c r="N630" s="63"/>
      <c r="P630" s="9"/>
      <c r="Q630" s="9"/>
      <c r="R630" s="9"/>
      <c r="S630" s="9"/>
      <c r="T630" s="9"/>
    </row>
    <row r="631" spans="3:20" s="7" customFormat="1" ht="12">
      <c r="C631" s="12"/>
      <c r="E631" s="12" t="s">
        <v>371</v>
      </c>
      <c r="F631"/>
      <c r="G631" s="63"/>
      <c r="I631" s="64"/>
      <c r="J631"/>
      <c r="K631" s="63"/>
      <c r="N631" s="63"/>
      <c r="P631" s="9"/>
      <c r="Q631" s="9"/>
      <c r="R631" s="9"/>
      <c r="S631" s="9"/>
      <c r="T631" s="9"/>
    </row>
    <row r="632" spans="3:20" s="7" customFormat="1" ht="12">
      <c r="C632" s="12"/>
      <c r="F632"/>
      <c r="G632" s="63"/>
      <c r="I632" s="64"/>
      <c r="J632"/>
      <c r="K632" s="63"/>
      <c r="N632" s="63"/>
      <c r="P632" s="9"/>
      <c r="Q632" s="9"/>
      <c r="R632" s="9"/>
      <c r="S632" s="9"/>
      <c r="T632" s="9"/>
    </row>
    <row r="633" spans="3:20" s="7" customFormat="1">
      <c r="G633" s="11"/>
      <c r="K633" s="11"/>
      <c r="N633" s="11"/>
    </row>
    <row r="634" spans="3:20" s="7" customFormat="1" ht="12">
      <c r="C634" s="272" t="s">
        <v>368</v>
      </c>
      <c r="G634" s="63" t="s">
        <v>307</v>
      </c>
      <c r="I634" s="572" t="s">
        <v>61</v>
      </c>
      <c r="J634" s="572"/>
      <c r="K634" s="572"/>
      <c r="M634" s="553" t="s">
        <v>332</v>
      </c>
      <c r="N634" s="553"/>
      <c r="P634" s="12" t="s">
        <v>109</v>
      </c>
    </row>
    <row r="635" spans="3:20" s="7" customFormat="1" ht="12">
      <c r="C635" s="228" t="s">
        <v>105</v>
      </c>
      <c r="D635" s="228" t="s">
        <v>369</v>
      </c>
      <c r="E635" s="228" t="s">
        <v>378</v>
      </c>
      <c r="G635" s="229" t="s">
        <v>232</v>
      </c>
      <c r="I635" s="228" t="s">
        <v>286</v>
      </c>
      <c r="J635" s="228" t="s">
        <v>287</v>
      </c>
      <c r="K635" s="343" t="s">
        <v>232</v>
      </c>
      <c r="M635" s="228" t="s">
        <v>288</v>
      </c>
      <c r="N635" s="343" t="s">
        <v>232</v>
      </c>
      <c r="P635" s="554" t="s">
        <v>165</v>
      </c>
      <c r="Q635" s="554"/>
      <c r="R635" s="554"/>
      <c r="S635" s="554"/>
      <c r="T635" s="554"/>
    </row>
    <row r="636" spans="3:20" s="7" customFormat="1" ht="12">
      <c r="C636" s="21" t="s">
        <v>376</v>
      </c>
      <c r="D636" s="514">
        <v>324</v>
      </c>
      <c r="E636" s="339">
        <f>_xlfn.IFNA(VLOOKUP($C636,'Facteurs d''émission'!$D$2:$I$340,2,FALSE),"Non renseigné")</f>
        <v>0.26</v>
      </c>
      <c r="G636" s="3">
        <f>D636*E636</f>
        <v>84.240000000000009</v>
      </c>
      <c r="I636" s="307">
        <f>_xlfn.IFNA(VLOOKUP($C636,'Facteurs d''émission'!$D$2:$I$340,4,FALSE),"Non présent dans la base")</f>
        <v>0.2</v>
      </c>
      <c r="J636" s="240"/>
      <c r="K636" s="3">
        <f>G636*(1-(1-I636)*(1-J636))</f>
        <v>16.847999999999999</v>
      </c>
      <c r="M636" s="225"/>
      <c r="N636" s="3">
        <f>G636*M636</f>
        <v>0</v>
      </c>
      <c r="P636" s="555"/>
      <c r="Q636" s="556"/>
      <c r="R636" s="556"/>
      <c r="S636" s="556"/>
      <c r="T636" s="557"/>
    </row>
    <row r="637" spans="3:20" s="7" customFormat="1">
      <c r="G637" s="11"/>
      <c r="K637" s="11"/>
      <c r="N637" s="11"/>
    </row>
    <row r="638" spans="3:20" s="7" customFormat="1">
      <c r="F638" s="11"/>
      <c r="G638" s="11"/>
      <c r="K638" s="11"/>
      <c r="N638" s="11"/>
    </row>
    <row r="639" spans="3:20" s="7" customFormat="1">
      <c r="G639" s="11"/>
      <c r="K639" s="11"/>
      <c r="N639" s="11"/>
    </row>
    <row r="640" spans="3:20" s="7" customFormat="1">
      <c r="G640" s="11"/>
      <c r="K640" s="11"/>
      <c r="N640" s="11"/>
    </row>
    <row r="641" spans="1:26" s="65" customFormat="1" ht="15.6">
      <c r="A641" s="64"/>
      <c r="B641" s="64"/>
      <c r="C641" s="636" t="s">
        <v>160</v>
      </c>
      <c r="D641" s="636"/>
      <c r="E641" s="636"/>
      <c r="F641" s="636"/>
      <c r="G641" s="636"/>
      <c r="H641" s="636"/>
      <c r="I641" s="636"/>
      <c r="J641" s="636"/>
      <c r="K641" s="636"/>
      <c r="L641" s="20"/>
      <c r="N641" s="111"/>
    </row>
    <row r="642" spans="1:26" s="64" customFormat="1">
      <c r="G642" s="87"/>
      <c r="K642" s="87"/>
      <c r="N642" s="87"/>
    </row>
    <row r="643" spans="1:26" s="65" customFormat="1" ht="13.2">
      <c r="A643" s="64"/>
      <c r="B643" s="64"/>
      <c r="C643" s="12" t="s">
        <v>134</v>
      </c>
      <c r="D643" s="12"/>
      <c r="E643" s="13" t="s">
        <v>19</v>
      </c>
      <c r="F643" s="13"/>
      <c r="G643" s="63"/>
      <c r="H643" s="12"/>
      <c r="I643" s="553" t="s">
        <v>61</v>
      </c>
      <c r="J643" s="553"/>
      <c r="K643" s="553"/>
      <c r="L643" s="12"/>
      <c r="M643" s="588" t="s">
        <v>111</v>
      </c>
      <c r="N643" s="573"/>
      <c r="O643" s="573"/>
      <c r="P643" s="13" t="s">
        <v>12</v>
      </c>
      <c r="Q643" s="64"/>
      <c r="R643" s="64"/>
      <c r="S643" s="64"/>
      <c r="T643" s="64"/>
      <c r="U643" s="64"/>
      <c r="V643" s="64"/>
      <c r="W643" s="64"/>
      <c r="X643" s="64"/>
      <c r="Y643" s="64"/>
      <c r="Z643" s="79"/>
    </row>
    <row r="644" spans="1:26" s="65" customFormat="1">
      <c r="A644" s="64"/>
      <c r="B644" s="64"/>
      <c r="C644" s="485" t="s">
        <v>131</v>
      </c>
      <c r="D644" s="352"/>
      <c r="E644" s="486" t="s">
        <v>232</v>
      </c>
      <c r="F644" s="487" t="s">
        <v>304</v>
      </c>
      <c r="G644" s="488" t="s">
        <v>66</v>
      </c>
      <c r="I644" s="346" t="s">
        <v>232</v>
      </c>
      <c r="J644" s="346" t="s">
        <v>304</v>
      </c>
      <c r="K644" s="346" t="s">
        <v>49</v>
      </c>
      <c r="M644" s="346" t="s">
        <v>232</v>
      </c>
      <c r="N644" s="353" t="s">
        <v>304</v>
      </c>
      <c r="O644" s="346" t="s">
        <v>48</v>
      </c>
      <c r="P644" s="346" t="s">
        <v>304</v>
      </c>
    </row>
    <row r="645" spans="1:26" s="65" customFormat="1">
      <c r="C645" s="14" t="s">
        <v>230</v>
      </c>
      <c r="D645" s="489"/>
      <c r="E645" s="69">
        <f>G627</f>
        <v>7138.915</v>
      </c>
      <c r="F645" s="69">
        <f>E645/1000</f>
        <v>7.1389149999999999</v>
      </c>
      <c r="G645" s="112">
        <f>IF(F$647=0,"",F645/F$647)</f>
        <v>0.98833750625592276</v>
      </c>
      <c r="I645" s="69">
        <f>K627</f>
        <v>1445.3544999999997</v>
      </c>
      <c r="J645" s="69">
        <f>I645/1000</f>
        <v>1.4453544999999997</v>
      </c>
      <c r="K645" s="112">
        <f>IF(E645=0,"",I645/E645)</f>
        <v>0.20246136842923607</v>
      </c>
      <c r="M645" s="69">
        <f>N627</f>
        <v>0</v>
      </c>
      <c r="N645" s="69">
        <f>M645/1000</f>
        <v>0</v>
      </c>
      <c r="O645" s="71">
        <f>IF($E645=0,"",M645/$E645)</f>
        <v>0</v>
      </c>
      <c r="P645" s="72">
        <f>F645-N645</f>
        <v>7.1389149999999999</v>
      </c>
    </row>
    <row r="646" spans="1:26" s="65" customFormat="1">
      <c r="C646" s="14" t="s">
        <v>370</v>
      </c>
      <c r="D646" s="489"/>
      <c r="E646" s="69">
        <f>G636</f>
        <v>84.240000000000009</v>
      </c>
      <c r="F646" s="69">
        <f>E646/1000</f>
        <v>8.4240000000000009E-2</v>
      </c>
      <c r="G646" s="112">
        <f>IF(F$647=0,"",F646/F$647)</f>
        <v>1.1662493744077209E-2</v>
      </c>
      <c r="I646" s="69">
        <f>K636</f>
        <v>16.847999999999999</v>
      </c>
      <c r="J646" s="69">
        <f>I646/1000</f>
        <v>1.6847999999999998E-2</v>
      </c>
      <c r="K646" s="112">
        <f>IF(E646=0,"",I646/E646)</f>
        <v>0.19999999999999996</v>
      </c>
      <c r="M646" s="69">
        <f>N636</f>
        <v>0</v>
      </c>
      <c r="N646" s="69">
        <f>M646/1000</f>
        <v>0</v>
      </c>
      <c r="O646" s="71">
        <f>IF($E646=0,"",M646/$E646)</f>
        <v>0</v>
      </c>
      <c r="P646" s="72">
        <f>F646-N646</f>
        <v>8.4240000000000009E-2</v>
      </c>
    </row>
    <row r="647" spans="1:26" s="64" customFormat="1" ht="12">
      <c r="C647" s="52" t="s">
        <v>11</v>
      </c>
      <c r="D647" s="57"/>
      <c r="E647" s="54">
        <f>SUM(E645:E646)</f>
        <v>7223.1549999999997</v>
      </c>
      <c r="F647" s="54">
        <f>SUM(F645:F646)</f>
        <v>7.2231550000000002</v>
      </c>
      <c r="G647" s="77">
        <f>SUM(G645:G646)</f>
        <v>1</v>
      </c>
      <c r="H647" s="12"/>
      <c r="I647" s="51">
        <f>SUM(I645:I646)</f>
        <v>1462.2024999999996</v>
      </c>
      <c r="J647" s="54">
        <f>SUM(J645:J646)</f>
        <v>1.4622024999999996</v>
      </c>
      <c r="K647" s="75">
        <f>IF(E647=0,"",I647/E647)</f>
        <v>0.20243266273532823</v>
      </c>
      <c r="L647" s="12"/>
      <c r="M647" s="51">
        <f>SUM(M645:M645)</f>
        <v>0</v>
      </c>
      <c r="N647" s="51">
        <f>SUM(N645:N645)</f>
        <v>0</v>
      </c>
      <c r="O647" s="77">
        <f>IF($E647=0,"",M647/$E647)</f>
        <v>0</v>
      </c>
      <c r="P647" s="78">
        <f>SUM(P645:P645)</f>
        <v>7.1389149999999999</v>
      </c>
    </row>
    <row r="648" spans="1:26" s="64" customFormat="1" ht="12">
      <c r="A648" s="65"/>
      <c r="B648" s="65"/>
      <c r="C648" s="12"/>
      <c r="D648" s="12"/>
      <c r="E648" s="12"/>
      <c r="F648" s="12"/>
      <c r="G648" s="63"/>
      <c r="H648" s="12"/>
      <c r="I648" s="12"/>
      <c r="J648" s="12"/>
      <c r="K648" s="63"/>
      <c r="L648" s="12"/>
      <c r="M648" s="76"/>
      <c r="N648" s="63"/>
      <c r="O648" s="12"/>
      <c r="P648" s="12"/>
    </row>
    <row r="649" spans="1:26" s="64" customFormat="1" ht="12">
      <c r="A649" s="65"/>
      <c r="B649" s="65"/>
      <c r="C649" s="12"/>
      <c r="D649" s="12"/>
      <c r="E649" s="12"/>
      <c r="F649" s="12"/>
      <c r="G649" s="63"/>
      <c r="H649" s="12"/>
      <c r="I649" s="12"/>
      <c r="J649" s="12"/>
      <c r="K649" s="63"/>
      <c r="L649" s="12"/>
      <c r="M649" s="76"/>
      <c r="N649" s="63"/>
      <c r="O649" s="12"/>
      <c r="P649" s="12"/>
    </row>
    <row r="650" spans="1:26" s="64" customFormat="1" ht="12">
      <c r="A650" s="65"/>
      <c r="B650" s="65"/>
      <c r="C650" s="12"/>
      <c r="D650" s="12"/>
      <c r="E650" s="12"/>
      <c r="F650" s="12"/>
      <c r="G650" s="63"/>
      <c r="H650" s="12"/>
      <c r="I650" s="12"/>
      <c r="J650" s="12"/>
      <c r="K650" s="63"/>
      <c r="L650" s="12"/>
      <c r="M650" s="76"/>
      <c r="N650" s="63"/>
      <c r="O650" s="12"/>
      <c r="P650" s="12"/>
    </row>
    <row r="651" spans="1:26" s="64" customFormat="1" ht="12">
      <c r="C651" s="12"/>
      <c r="D651" s="12"/>
      <c r="E651" s="12"/>
      <c r="F651" s="12"/>
      <c r="G651" s="63"/>
      <c r="H651" s="12"/>
      <c r="I651" s="12"/>
      <c r="J651" s="12"/>
      <c r="K651" s="63"/>
      <c r="L651" s="12"/>
      <c r="M651" s="12"/>
      <c r="N651" s="63"/>
      <c r="O651" s="12"/>
    </row>
    <row r="652" spans="1:26" s="7" customFormat="1">
      <c r="G652" s="11"/>
      <c r="K652" s="11"/>
      <c r="N652" s="11"/>
    </row>
    <row r="653" spans="1:26" s="7" customFormat="1">
      <c r="G653" s="11"/>
      <c r="K653" s="11"/>
      <c r="N653" s="11"/>
    </row>
    <row r="654" spans="1:26" s="7" customFormat="1">
      <c r="G654" s="11"/>
      <c r="K654" s="11"/>
      <c r="N654" s="11"/>
    </row>
    <row r="655" spans="1:26" s="7" customFormat="1">
      <c r="G655" s="11"/>
      <c r="K655" s="11"/>
      <c r="N655" s="11"/>
    </row>
    <row r="656" spans="1:26" s="7" customFormat="1">
      <c r="G656" s="11"/>
      <c r="K656" s="11"/>
      <c r="N656" s="11"/>
    </row>
    <row r="657" spans="7:31" s="7" customFormat="1">
      <c r="G657" s="11"/>
      <c r="K657" s="11"/>
      <c r="N657" s="11"/>
    </row>
    <row r="658" spans="7:31" s="7" customFormat="1">
      <c r="G658" s="11"/>
      <c r="H658" s="11"/>
      <c r="K658" s="11"/>
      <c r="N658" s="11"/>
    </row>
    <row r="659" spans="7:31" s="7" customFormat="1">
      <c r="G659" s="11"/>
      <c r="H659" s="11"/>
      <c r="K659" s="11"/>
      <c r="N659" s="11"/>
    </row>
    <row r="660" spans="7:31" s="7" customFormat="1">
      <c r="G660" s="11"/>
      <c r="K660" s="11"/>
      <c r="N660" s="11"/>
    </row>
    <row r="661" spans="7:31" s="7" customFormat="1">
      <c r="G661" s="11"/>
      <c r="H661" s="11"/>
      <c r="K661" s="11"/>
      <c r="N661" s="11"/>
    </row>
    <row r="662" spans="7:31" s="7" customFormat="1">
      <c r="G662" s="11"/>
      <c r="K662" s="11"/>
      <c r="N662" s="11"/>
    </row>
    <row r="663" spans="7:31" s="7" customFormat="1">
      <c r="G663" s="11"/>
      <c r="H663" s="11"/>
      <c r="K663" s="11"/>
      <c r="N663" s="11"/>
      <c r="AE663" s="95"/>
    </row>
    <row r="664" spans="7:31" s="7" customFormat="1">
      <c r="G664" s="11"/>
      <c r="H664" s="11"/>
      <c r="K664" s="11"/>
      <c r="N664" s="11"/>
    </row>
    <row r="665" spans="7:31" s="7" customFormat="1">
      <c r="G665" s="11"/>
      <c r="K665" s="11"/>
      <c r="N665" s="11"/>
    </row>
    <row r="666" spans="7:31" s="7" customFormat="1">
      <c r="G666" s="11"/>
      <c r="K666" s="11"/>
      <c r="N666" s="11"/>
    </row>
    <row r="667" spans="7:31" s="7" customFormat="1">
      <c r="G667" s="11"/>
      <c r="K667" s="11"/>
      <c r="N667" s="11"/>
    </row>
    <row r="668" spans="7:31" s="7" customFormat="1">
      <c r="G668" s="11"/>
      <c r="K668" s="11"/>
      <c r="N668" s="11"/>
    </row>
    <row r="669" spans="7:31" s="7" customFormat="1">
      <c r="G669" s="11"/>
      <c r="K669" s="11"/>
      <c r="N669" s="11"/>
    </row>
    <row r="670" spans="7:31" s="7" customFormat="1">
      <c r="G670" s="11"/>
      <c r="K670" s="11"/>
      <c r="N670" s="11"/>
    </row>
    <row r="671" spans="7:31" s="7" customFormat="1">
      <c r="G671" s="11"/>
      <c r="K671" s="11"/>
      <c r="N671" s="11"/>
    </row>
    <row r="672" spans="7:31" s="7" customFormat="1">
      <c r="G672" s="11"/>
      <c r="K672" s="11"/>
      <c r="N672" s="11"/>
    </row>
    <row r="673" spans="3:31" s="7" customFormat="1">
      <c r="G673" s="11"/>
      <c r="K673" s="11"/>
      <c r="N673" s="11"/>
      <c r="Y673" s="95"/>
    </row>
    <row r="674" spans="3:31" s="7" customFormat="1">
      <c r="G674" s="11"/>
      <c r="K674" s="11"/>
      <c r="N674" s="11"/>
    </row>
    <row r="675" spans="3:31" s="7" customFormat="1" ht="13.2">
      <c r="G675" s="11"/>
      <c r="K675" s="11"/>
      <c r="N675" s="11"/>
      <c r="AE675" s="79"/>
    </row>
    <row r="676" spans="3:31" s="7" customFormat="1">
      <c r="G676" s="11"/>
      <c r="K676" s="11"/>
      <c r="N676" s="11"/>
    </row>
    <row r="677" spans="3:31" s="7" customFormat="1">
      <c r="G677" s="11"/>
      <c r="K677" s="11"/>
      <c r="N677" s="11"/>
    </row>
    <row r="678" spans="3:31" s="7" customFormat="1">
      <c r="G678" s="11"/>
      <c r="K678" s="11"/>
      <c r="N678" s="11"/>
    </row>
    <row r="679" spans="3:31" s="7" customFormat="1">
      <c r="G679" s="11"/>
      <c r="K679" s="11"/>
      <c r="N679" s="11"/>
    </row>
    <row r="680" spans="3:31" s="7" customFormat="1">
      <c r="G680" s="11"/>
      <c r="K680" s="11"/>
      <c r="N680" s="11"/>
    </row>
    <row r="681" spans="3:31" s="7" customFormat="1">
      <c r="G681" s="11"/>
      <c r="K681" s="11"/>
      <c r="N681" s="11"/>
    </row>
    <row r="682" spans="3:31" s="7" customFormat="1">
      <c r="G682" s="11"/>
      <c r="K682" s="11"/>
      <c r="N682" s="11"/>
    </row>
    <row r="683" spans="3:31" s="7" customFormat="1">
      <c r="G683" s="11"/>
      <c r="K683" s="11"/>
      <c r="N683" s="11"/>
    </row>
    <row r="684" spans="3:31" s="7" customFormat="1">
      <c r="G684" s="11"/>
      <c r="K684" s="11"/>
      <c r="N684" s="11"/>
    </row>
    <row r="685" spans="3:31" s="7" customFormat="1">
      <c r="G685" s="11"/>
      <c r="K685" s="11"/>
      <c r="N685" s="11"/>
    </row>
    <row r="686" spans="3:31" s="7" customFormat="1" ht="12.75" customHeight="1">
      <c r="C686" s="20"/>
      <c r="D686" s="20"/>
      <c r="E686" s="20"/>
      <c r="F686" s="20"/>
      <c r="G686" s="11"/>
      <c r="H686" s="11"/>
      <c r="K686" s="11"/>
      <c r="N686" s="11"/>
    </row>
    <row r="687" spans="3:31" s="7" customFormat="1" ht="22.8">
      <c r="C687" s="633" t="s">
        <v>71</v>
      </c>
      <c r="D687" s="633"/>
      <c r="E687" s="633"/>
      <c r="F687" s="633"/>
      <c r="G687" s="633"/>
      <c r="H687" s="633"/>
      <c r="I687" s="633"/>
      <c r="J687" s="633"/>
      <c r="K687" s="634"/>
      <c r="L687" s="634"/>
      <c r="N687" s="11"/>
    </row>
    <row r="688" spans="3:31" s="7" customFormat="1" ht="30" customHeight="1">
      <c r="C688" s="44"/>
      <c r="D688" s="44"/>
      <c r="E688" s="44"/>
      <c r="F688" s="44"/>
      <c r="G688" s="143"/>
      <c r="H688" s="44"/>
      <c r="I688" s="44"/>
      <c r="J688" s="44"/>
      <c r="K688" s="150"/>
      <c r="L688" s="23"/>
      <c r="N688" s="11"/>
    </row>
    <row r="689" spans="3:20" s="7" customFormat="1" ht="12.75" customHeight="1">
      <c r="C689" s="20"/>
      <c r="D689" s="20"/>
      <c r="E689" s="12" t="s">
        <v>326</v>
      </c>
      <c r="F689" s="20"/>
      <c r="G689" s="11"/>
      <c r="H689" s="11"/>
      <c r="K689" s="11"/>
      <c r="N689" s="11"/>
    </row>
    <row r="690" spans="3:20" s="7" customFormat="1">
      <c r="C690" s="119"/>
      <c r="D690" s="119"/>
      <c r="E690" s="119"/>
      <c r="F690" s="119"/>
      <c r="G690" s="144"/>
      <c r="I690" s="119"/>
      <c r="K690" s="11"/>
      <c r="N690" s="11"/>
    </row>
    <row r="691" spans="3:20" s="7" customFormat="1" ht="12">
      <c r="C691" s="219" t="s">
        <v>161</v>
      </c>
      <c r="G691" s="63" t="s">
        <v>307</v>
      </c>
      <c r="I691" s="572" t="s">
        <v>61</v>
      </c>
      <c r="J691" s="572"/>
      <c r="K691" s="572"/>
      <c r="M691" s="553" t="s">
        <v>332</v>
      </c>
      <c r="N691" s="553"/>
      <c r="P691" s="12" t="s">
        <v>109</v>
      </c>
    </row>
    <row r="692" spans="3:20" s="355" customFormat="1" ht="34.200000000000003">
      <c r="C692" s="335" t="s">
        <v>106</v>
      </c>
      <c r="D692" s="335" t="s">
        <v>356</v>
      </c>
      <c r="E692" s="356" t="s">
        <v>357</v>
      </c>
      <c r="F692" s="244" t="s">
        <v>358</v>
      </c>
      <c r="G692" s="357" t="s">
        <v>232</v>
      </c>
      <c r="I692" s="335" t="s">
        <v>286</v>
      </c>
      <c r="J692" s="335" t="s">
        <v>287</v>
      </c>
      <c r="K692" s="357" t="s">
        <v>232</v>
      </c>
      <c r="M692" s="335" t="s">
        <v>288</v>
      </c>
      <c r="N692" s="357" t="s">
        <v>232</v>
      </c>
      <c r="P692" s="607" t="s">
        <v>165</v>
      </c>
      <c r="Q692" s="607"/>
      <c r="R692" s="607"/>
      <c r="S692" s="607"/>
      <c r="T692" s="607"/>
    </row>
    <row r="693" spans="3:20" s="7" customFormat="1">
      <c r="C693" s="14" t="s">
        <v>432</v>
      </c>
      <c r="D693" s="222"/>
      <c r="E693" s="308">
        <f>_xlfn.IFNA(VLOOKUP($C693,'Facteurs d''émission'!$D$2:$I$340,2,FALSE),"Non renseigné")</f>
        <v>155</v>
      </c>
      <c r="F693" s="361">
        <v>0</v>
      </c>
      <c r="G693" s="310" t="str">
        <f>IF(AND(F693=0,D693=0),"0",IF(AND(F693=0,D693&gt;0),"Rentrer la durée d'amortissement !",D693*E693/F693))</f>
        <v>0</v>
      </c>
      <c r="H693" s="311"/>
      <c r="I693" s="307">
        <f>_xlfn.IFNA(VLOOKUP($C693,'Facteurs d''émission'!$D$2:$I$340,4,FALSE),"Non présent dans la base")</f>
        <v>0.2</v>
      </c>
      <c r="J693" s="312"/>
      <c r="K693" s="336">
        <f t="shared" ref="K693:K698" si="164">G693*(1-(1-I693)*(1-J693))</f>
        <v>0</v>
      </c>
      <c r="L693" s="311" t="str">
        <f t="shared" ref="L693:L698" si="165">IF(D693*COUNTA(J693)&gt;0,"ok","")</f>
        <v/>
      </c>
      <c r="M693" s="312"/>
      <c r="N693" s="336">
        <f t="shared" ref="N693:N698" si="166">M693*G693</f>
        <v>0</v>
      </c>
      <c r="P693" s="614"/>
      <c r="Q693" s="615"/>
      <c r="R693" s="615"/>
      <c r="S693" s="615"/>
      <c r="T693" s="616"/>
    </row>
    <row r="694" spans="3:20" s="7" customFormat="1">
      <c r="C694" s="14" t="s">
        <v>216</v>
      </c>
      <c r="D694" s="222"/>
      <c r="E694" s="308">
        <f>_xlfn.IFNA(VLOOKUP($C694,'Facteurs d''émission'!$D$2:$I$340,2,FALSE),"Non renseigné")</f>
        <v>656</v>
      </c>
      <c r="F694" s="361">
        <v>0</v>
      </c>
      <c r="G694" s="310" t="str">
        <f t="shared" ref="G694:G698" si="167">IF(AND(F694=0,D694=0),"0",IF(AND(F694=0,D694&gt;0),"Rentrer la durée d'amortissement !",D694*E694/F694))</f>
        <v>0</v>
      </c>
      <c r="H694" s="311"/>
      <c r="I694" s="307">
        <f>_xlfn.IFNA(VLOOKUP($C694,'Facteurs d''émission'!$D$2:$I$340,4,FALSE),"Non présent dans la base")</f>
        <v>0.5</v>
      </c>
      <c r="J694" s="312"/>
      <c r="K694" s="336">
        <f t="shared" si="164"/>
        <v>0</v>
      </c>
      <c r="L694" s="311" t="str">
        <f t="shared" si="165"/>
        <v/>
      </c>
      <c r="M694" s="312"/>
      <c r="N694" s="336">
        <f t="shared" si="166"/>
        <v>0</v>
      </c>
      <c r="P694" s="614"/>
      <c r="Q694" s="615"/>
      <c r="R694" s="615"/>
      <c r="S694" s="615"/>
      <c r="T694" s="616"/>
    </row>
    <row r="695" spans="3:20" s="7" customFormat="1" ht="12.75" customHeight="1">
      <c r="C695" s="14" t="s">
        <v>427</v>
      </c>
      <c r="D695" s="222"/>
      <c r="E695" s="308">
        <f>_xlfn.IFNA(VLOOKUP($C695,'Facteurs d''émission'!$D$2:$I$340,2,FALSE),"Non renseigné")</f>
        <v>220</v>
      </c>
      <c r="F695" s="361">
        <v>0</v>
      </c>
      <c r="G695" s="310" t="str">
        <f t="shared" si="167"/>
        <v>0</v>
      </c>
      <c r="H695" s="311"/>
      <c r="I695" s="307">
        <f>_xlfn.IFNA(VLOOKUP($C695,'Facteurs d''émission'!$D$2:$I$340,4,FALSE),"Non présent dans la base")</f>
        <v>0.5</v>
      </c>
      <c r="J695" s="312"/>
      <c r="K695" s="336">
        <f t="shared" si="164"/>
        <v>0</v>
      </c>
      <c r="L695" s="311" t="str">
        <f t="shared" si="165"/>
        <v/>
      </c>
      <c r="M695" s="312"/>
      <c r="N695" s="336">
        <f t="shared" si="166"/>
        <v>0</v>
      </c>
      <c r="P695" s="614"/>
      <c r="Q695" s="615"/>
      <c r="R695" s="615"/>
      <c r="S695" s="615"/>
      <c r="T695" s="616"/>
    </row>
    <row r="696" spans="3:20" s="7" customFormat="1" ht="12">
      <c r="C696" s="14" t="s">
        <v>219</v>
      </c>
      <c r="D696" s="523">
        <v>7454</v>
      </c>
      <c r="E696" s="308">
        <f>_xlfn.IFNA(VLOOKUP($C696,'Facteurs d''émission'!$D$2:$I$340,2,FALSE),"Non renseigné")</f>
        <v>650</v>
      </c>
      <c r="F696" s="361">
        <v>30</v>
      </c>
      <c r="G696" s="310">
        <f>IF(AND(F696=0,D696=0),"0",IF(AND(F696=0,D696&gt;0),"Rentrer la durée d'amortissement !",D696*E696/F696))</f>
        <v>161503.33333333334</v>
      </c>
      <c r="H696" s="311"/>
      <c r="I696" s="307">
        <f>_xlfn.IFNA(VLOOKUP($C696,'Facteurs d''émission'!$D$2:$I$340,4,FALSE),"Non présent dans la base")</f>
        <v>0.5</v>
      </c>
      <c r="J696" s="312"/>
      <c r="K696" s="336">
        <f t="shared" si="164"/>
        <v>80751.666666666672</v>
      </c>
      <c r="L696" s="311" t="str">
        <f t="shared" si="165"/>
        <v/>
      </c>
      <c r="M696" s="312"/>
      <c r="N696" s="336">
        <f t="shared" si="166"/>
        <v>0</v>
      </c>
      <c r="P696" s="614"/>
      <c r="Q696" s="615"/>
      <c r="R696" s="615"/>
      <c r="S696" s="615"/>
      <c r="T696" s="616"/>
    </row>
    <row r="697" spans="3:20" s="7" customFormat="1" ht="12.75" customHeight="1">
      <c r="C697" s="14" t="s">
        <v>220</v>
      </c>
      <c r="D697" s="523">
        <v>7820</v>
      </c>
      <c r="E697" s="308">
        <f>_xlfn.IFNA(VLOOKUP($C697,'Facteurs d''émission'!$D$2:$I$340,2,FALSE),"Non renseigné")</f>
        <v>440</v>
      </c>
      <c r="F697" s="361">
        <v>30</v>
      </c>
      <c r="G697" s="310">
        <f>IF(AND(F697=0,D697=0),"0",IF(AND(F697=0,D697&gt;0),"Rentrer la durée d'amortissement !",D697*E697/F697))</f>
        <v>114693.33333333333</v>
      </c>
      <c r="H697" s="311"/>
      <c r="I697" s="307">
        <f>_xlfn.IFNA(VLOOKUP($C697,'Facteurs d''émission'!$D$2:$I$340,4,FALSE),"Non présent dans la base")</f>
        <v>0.5</v>
      </c>
      <c r="J697" s="312"/>
      <c r="K697" s="336">
        <f t="shared" si="164"/>
        <v>57346.666666666664</v>
      </c>
      <c r="L697" s="311" t="str">
        <f t="shared" si="165"/>
        <v/>
      </c>
      <c r="M697" s="312"/>
      <c r="N697" s="336">
        <f t="shared" si="166"/>
        <v>0</v>
      </c>
      <c r="P697" s="614"/>
      <c r="Q697" s="615"/>
      <c r="R697" s="615"/>
      <c r="S697" s="615"/>
      <c r="T697" s="616"/>
    </row>
    <row r="698" spans="3:20" s="7" customFormat="1" ht="12">
      <c r="C698" s="14" t="s">
        <v>429</v>
      </c>
      <c r="D698" s="523"/>
      <c r="E698" s="308">
        <f>_xlfn.IFNA(VLOOKUP($C698,'Facteurs d''émission'!$D$2:$I$340,2,FALSE),"Non renseigné")</f>
        <v>319</v>
      </c>
      <c r="F698" s="361">
        <v>0</v>
      </c>
      <c r="G698" s="310" t="str">
        <f t="shared" si="167"/>
        <v>0</v>
      </c>
      <c r="H698" s="311"/>
      <c r="I698" s="307">
        <f>_xlfn.IFNA(VLOOKUP($C698,'Facteurs d''émission'!$D$2:$I$340,4,FALSE),"Non présent dans la base")</f>
        <v>0.15</v>
      </c>
      <c r="J698" s="312"/>
      <c r="K698" s="336">
        <f t="shared" si="164"/>
        <v>0</v>
      </c>
      <c r="L698" s="311" t="str">
        <f t="shared" si="165"/>
        <v/>
      </c>
      <c r="M698" s="312"/>
      <c r="N698" s="336">
        <f t="shared" si="166"/>
        <v>0</v>
      </c>
      <c r="P698" s="614"/>
      <c r="Q698" s="615"/>
      <c r="R698" s="615"/>
      <c r="S698" s="615"/>
      <c r="T698" s="616"/>
    </row>
    <row r="699" spans="3:20" s="7" customFormat="1" ht="12">
      <c r="C699" s="14" t="s">
        <v>428</v>
      </c>
      <c r="D699" s="523">
        <v>487</v>
      </c>
      <c r="E699" s="308">
        <f>_xlfn.IFNA(VLOOKUP($C699,'Facteurs d''émission'!$D$2:$I$340,2,FALSE),"Non renseigné")</f>
        <v>506</v>
      </c>
      <c r="F699" s="361">
        <v>30</v>
      </c>
      <c r="G699" s="310">
        <f t="shared" ref="G699:G705" si="168">IF(AND(F699=0,D699=0),"0",IF(AND(F699=0,D699&gt;0),"Rentrer la durée d'amortissement !",D699*E699/F699))</f>
        <v>8214.0666666666675</v>
      </c>
      <c r="H699" s="311"/>
      <c r="I699" s="307">
        <f>_xlfn.IFNA(VLOOKUP($C699,'Facteurs d''émission'!$D$2:$I$340,4,FALSE),"Non présent dans la base")</f>
        <v>0.15</v>
      </c>
      <c r="J699" s="312"/>
      <c r="K699" s="336">
        <f t="shared" ref="K699:K705" si="169">G699*(1-(1-I699)*(1-J699))</f>
        <v>1232.1100000000004</v>
      </c>
      <c r="L699" s="311" t="str">
        <f t="shared" ref="L699:L705" si="170">IF(D699*COUNTA(J699)&gt;0,"ok","")</f>
        <v/>
      </c>
      <c r="M699" s="312"/>
      <c r="N699" s="336">
        <f t="shared" ref="N699:N705" si="171">M699*G699</f>
        <v>0</v>
      </c>
      <c r="P699" s="614"/>
      <c r="Q699" s="615"/>
      <c r="R699" s="615"/>
      <c r="S699" s="615"/>
      <c r="T699" s="616"/>
    </row>
    <row r="700" spans="3:20" s="7" customFormat="1" ht="12">
      <c r="C700" s="14" t="s">
        <v>431</v>
      </c>
      <c r="D700" s="523">
        <v>3000</v>
      </c>
      <c r="E700" s="308">
        <f>_xlfn.IFNA(VLOOKUP($C700,'Facteurs d''émission'!$D$2:$I$340,2,FALSE),"Non renseigné")</f>
        <v>165</v>
      </c>
      <c r="F700" s="361">
        <v>30</v>
      </c>
      <c r="G700" s="310">
        <f t="shared" si="168"/>
        <v>16500</v>
      </c>
      <c r="H700" s="311"/>
      <c r="I700" s="307">
        <f>_xlfn.IFNA(VLOOKUP($C700,'Facteurs d''émission'!$D$2:$I$340,4,FALSE),"Non présent dans la base")</f>
        <v>0.15</v>
      </c>
      <c r="J700" s="312"/>
      <c r="K700" s="336">
        <f t="shared" si="169"/>
        <v>2475.0000000000005</v>
      </c>
      <c r="L700" s="311" t="str">
        <f t="shared" si="170"/>
        <v/>
      </c>
      <c r="M700" s="312"/>
      <c r="N700" s="336">
        <f t="shared" si="171"/>
        <v>0</v>
      </c>
      <c r="P700" s="614"/>
      <c r="Q700" s="615"/>
      <c r="R700" s="615"/>
      <c r="S700" s="615"/>
      <c r="T700" s="616"/>
    </row>
    <row r="701" spans="3:20" s="7" customFormat="1" ht="12">
      <c r="C701" s="14" t="s">
        <v>306</v>
      </c>
      <c r="D701" s="523"/>
      <c r="E701" s="308">
        <f>_xlfn.IFNA(VLOOKUP($C701,'Facteurs d''émission'!$D$2:$I$340,2,FALSE),"Non renseigné")</f>
        <v>0</v>
      </c>
      <c r="F701" s="360"/>
      <c r="G701" s="310" t="str">
        <f t="shared" si="168"/>
        <v>0</v>
      </c>
      <c r="H701" s="311"/>
      <c r="I701" s="307">
        <f>_xlfn.IFNA(VLOOKUP($C701,'Facteurs d''émission'!$D$2:$I$340,4,FALSE),"Non présent dans la base")</f>
        <v>0</v>
      </c>
      <c r="J701" s="312"/>
      <c r="K701" s="336">
        <f t="shared" si="169"/>
        <v>0</v>
      </c>
      <c r="L701" s="311" t="str">
        <f t="shared" si="170"/>
        <v/>
      </c>
      <c r="M701" s="312"/>
      <c r="N701" s="336">
        <f t="shared" si="171"/>
        <v>0</v>
      </c>
      <c r="P701" s="614"/>
      <c r="Q701" s="615"/>
      <c r="R701" s="615"/>
      <c r="S701" s="615"/>
      <c r="T701" s="616"/>
    </row>
    <row r="702" spans="3:20" s="7" customFormat="1" ht="12">
      <c r="C702" s="14" t="s">
        <v>306</v>
      </c>
      <c r="D702" s="523"/>
      <c r="E702" s="308">
        <f>_xlfn.IFNA(VLOOKUP($C702,'Facteurs d''émission'!$D$2:$I$340,2,FALSE),"Non renseigné")</f>
        <v>0</v>
      </c>
      <c r="F702" s="360"/>
      <c r="G702" s="310" t="str">
        <f t="shared" si="168"/>
        <v>0</v>
      </c>
      <c r="H702" s="311"/>
      <c r="I702" s="307">
        <f>_xlfn.IFNA(VLOOKUP($C702,'Facteurs d''émission'!$D$2:$I$340,4,FALSE),"Non présent dans la base")</f>
        <v>0</v>
      </c>
      <c r="J702" s="312"/>
      <c r="K702" s="336">
        <f t="shared" si="169"/>
        <v>0</v>
      </c>
      <c r="L702" s="311" t="str">
        <f t="shared" si="170"/>
        <v/>
      </c>
      <c r="M702" s="312"/>
      <c r="N702" s="336">
        <f t="shared" si="171"/>
        <v>0</v>
      </c>
      <c r="P702" s="614"/>
      <c r="Q702" s="615"/>
      <c r="R702" s="615"/>
      <c r="S702" s="615"/>
      <c r="T702" s="616"/>
    </row>
    <row r="703" spans="3:20" s="7" customFormat="1" ht="12">
      <c r="C703" s="14" t="s">
        <v>306</v>
      </c>
      <c r="D703" s="523"/>
      <c r="E703" s="308">
        <f>_xlfn.IFNA(VLOOKUP($C703,'Facteurs d''émission'!$D$2:$I$340,2,FALSE),"Non renseigné")</f>
        <v>0</v>
      </c>
      <c r="F703" s="360"/>
      <c r="G703" s="310" t="str">
        <f t="shared" si="168"/>
        <v>0</v>
      </c>
      <c r="H703" s="311"/>
      <c r="I703" s="307">
        <f>_xlfn.IFNA(VLOOKUP($C703,'Facteurs d''émission'!$D$2:$I$340,4,FALSE),"Non présent dans la base")</f>
        <v>0</v>
      </c>
      <c r="J703" s="312"/>
      <c r="K703" s="336">
        <f t="shared" si="169"/>
        <v>0</v>
      </c>
      <c r="L703" s="311" t="str">
        <f t="shared" si="170"/>
        <v/>
      </c>
      <c r="M703" s="312"/>
      <c r="N703" s="336">
        <f t="shared" si="171"/>
        <v>0</v>
      </c>
      <c r="P703" s="614"/>
      <c r="Q703" s="615"/>
      <c r="R703" s="615"/>
      <c r="S703" s="615"/>
      <c r="T703" s="616"/>
    </row>
    <row r="704" spans="3:20" s="7" customFormat="1" ht="12.75" customHeight="1">
      <c r="C704" s="14" t="s">
        <v>306</v>
      </c>
      <c r="D704" s="523"/>
      <c r="E704" s="308">
        <f>_xlfn.IFNA(VLOOKUP($C704,'Facteurs d''émission'!$D$2:$I$340,2,FALSE),"Non renseigné")</f>
        <v>0</v>
      </c>
      <c r="F704" s="360"/>
      <c r="G704" s="310" t="str">
        <f t="shared" si="168"/>
        <v>0</v>
      </c>
      <c r="H704" s="311"/>
      <c r="I704" s="307">
        <f>_xlfn.IFNA(VLOOKUP($C704,'Facteurs d''émission'!$D$2:$I$340,4,FALSE),"Non présent dans la base")</f>
        <v>0</v>
      </c>
      <c r="J704" s="312"/>
      <c r="K704" s="336">
        <f t="shared" si="169"/>
        <v>0</v>
      </c>
      <c r="L704" s="311" t="str">
        <f t="shared" si="170"/>
        <v/>
      </c>
      <c r="M704" s="312"/>
      <c r="N704" s="336">
        <f t="shared" si="171"/>
        <v>0</v>
      </c>
      <c r="P704" s="614"/>
      <c r="Q704" s="615"/>
      <c r="R704" s="615"/>
      <c r="S704" s="615"/>
      <c r="T704" s="616"/>
    </row>
    <row r="705" spans="3:22" s="7" customFormat="1" ht="12">
      <c r="C705" s="14" t="s">
        <v>306</v>
      </c>
      <c r="D705" s="523"/>
      <c r="E705" s="308">
        <f>_xlfn.IFNA(VLOOKUP($C705,'Facteurs d''émission'!$D$2:$I$340,2,FALSE),"Non renseigné")</f>
        <v>0</v>
      </c>
      <c r="F705" s="360"/>
      <c r="G705" s="310" t="str">
        <f t="shared" si="168"/>
        <v>0</v>
      </c>
      <c r="H705" s="311"/>
      <c r="I705" s="307">
        <f>_xlfn.IFNA(VLOOKUP($C705,'Facteurs d''émission'!$D$2:$I$340,4,FALSE),"Non présent dans la base")</f>
        <v>0</v>
      </c>
      <c r="J705" s="312"/>
      <c r="K705" s="336">
        <f t="shared" si="169"/>
        <v>0</v>
      </c>
      <c r="L705" s="311" t="str">
        <f t="shared" si="170"/>
        <v/>
      </c>
      <c r="M705" s="312"/>
      <c r="N705" s="336">
        <f t="shared" si="171"/>
        <v>0</v>
      </c>
      <c r="P705" s="614"/>
      <c r="Q705" s="615"/>
      <c r="R705" s="615"/>
      <c r="S705" s="615"/>
      <c r="T705" s="616"/>
    </row>
    <row r="706" spans="3:22" s="7" customFormat="1" ht="12">
      <c r="C706" s="52" t="s">
        <v>25</v>
      </c>
      <c r="D706" s="518">
        <f>SUM(D693:D705)</f>
        <v>18761</v>
      </c>
      <c r="E706" s="524"/>
      <c r="F706" s="524"/>
      <c r="G706" s="314">
        <f>SUM(G693:G705)</f>
        <v>300910.73333333334</v>
      </c>
      <c r="H706" s="311"/>
      <c r="I706" s="631" t="str">
        <f>IF(COUNTA(D693:D705)&gt;COUNTIF(L693:L705,"ok"),"! Remplir une incertitude !","")</f>
        <v>! Remplir une incertitude !</v>
      </c>
      <c r="J706" s="632"/>
      <c r="K706" s="314">
        <f>SUM(K693:K705)</f>
        <v>141805.44333333333</v>
      </c>
      <c r="L706" s="311"/>
      <c r="M706" s="315"/>
      <c r="N706" s="314">
        <f>SUM(N693:N705)</f>
        <v>0</v>
      </c>
      <c r="P706" s="593" t="str">
        <f>IF(N706&gt;0,IF(#REF!="","Attention: vous devez planifier une action afin de remplir votre objectif",""),"")</f>
        <v/>
      </c>
      <c r="Q706" s="593"/>
      <c r="R706" s="593"/>
      <c r="S706" s="593"/>
      <c r="T706" s="593"/>
      <c r="V706" s="11"/>
    </row>
    <row r="707" spans="3:22" s="7" customFormat="1" ht="26.7" customHeight="1">
      <c r="E707" s="311"/>
      <c r="F707" s="311"/>
      <c r="G707" s="316"/>
      <c r="H707" s="311"/>
      <c r="I707" s="311"/>
      <c r="J707" s="311"/>
      <c r="K707" s="316"/>
      <c r="L707" s="311"/>
      <c r="M707" s="311"/>
      <c r="N707" s="316"/>
    </row>
    <row r="708" spans="3:22" s="7" customFormat="1" ht="12">
      <c r="E708" s="317" t="s">
        <v>327</v>
      </c>
      <c r="F708" s="311"/>
      <c r="G708" s="316"/>
      <c r="H708" s="311"/>
      <c r="I708" s="311"/>
      <c r="J708" s="311"/>
      <c r="K708" s="316"/>
      <c r="L708" s="311"/>
      <c r="M708" s="311"/>
      <c r="N708" s="316"/>
    </row>
    <row r="709" spans="3:22" s="7" customFormat="1">
      <c r="E709" s="311"/>
      <c r="F709" s="311"/>
      <c r="G709" s="316"/>
      <c r="H709" s="311"/>
      <c r="I709" s="311"/>
      <c r="J709" s="311"/>
      <c r="K709" s="316"/>
      <c r="L709" s="311"/>
      <c r="M709" s="311"/>
      <c r="N709" s="316"/>
    </row>
    <row r="710" spans="3:22" s="7" customFormat="1" ht="12">
      <c r="C710" s="219" t="s">
        <v>162</v>
      </c>
      <c r="E710" s="311"/>
      <c r="F710" s="311"/>
      <c r="G710" s="318" t="s">
        <v>307</v>
      </c>
      <c r="H710" s="311"/>
      <c r="I710" s="608" t="s">
        <v>61</v>
      </c>
      <c r="J710" s="608"/>
      <c r="K710" s="608"/>
      <c r="L710" s="319"/>
      <c r="M710" s="608" t="s">
        <v>332</v>
      </c>
      <c r="N710" s="608"/>
      <c r="P710" s="12" t="s">
        <v>109</v>
      </c>
    </row>
    <row r="711" spans="3:22" s="355" customFormat="1" ht="34.200000000000003">
      <c r="C711" s="335" t="s">
        <v>107</v>
      </c>
      <c r="D711" s="335" t="s">
        <v>354</v>
      </c>
      <c r="E711" s="356" t="s">
        <v>355</v>
      </c>
      <c r="F711" s="244" t="s">
        <v>358</v>
      </c>
      <c r="G711" s="357" t="s">
        <v>232</v>
      </c>
      <c r="H711" s="358"/>
      <c r="I711" s="335" t="s">
        <v>286</v>
      </c>
      <c r="J711" s="335" t="s">
        <v>287</v>
      </c>
      <c r="K711" s="357" t="s">
        <v>232</v>
      </c>
      <c r="L711" s="359"/>
      <c r="M711" s="335" t="s">
        <v>288</v>
      </c>
      <c r="N711" s="357" t="s">
        <v>232</v>
      </c>
      <c r="P711" s="607" t="s">
        <v>165</v>
      </c>
      <c r="Q711" s="607"/>
      <c r="R711" s="607"/>
      <c r="S711" s="607"/>
      <c r="T711" s="607"/>
    </row>
    <row r="712" spans="3:22" s="7" customFormat="1" ht="12">
      <c r="C712" s="14" t="s">
        <v>436</v>
      </c>
      <c r="D712" s="514">
        <v>90</v>
      </c>
      <c r="E712" s="308">
        <f>_xlfn.IFNA(VLOOKUP($C712,'Facteurs d''émission'!$D$2:$I$340,2,FALSE),"Non renseigné")</f>
        <v>678</v>
      </c>
      <c r="F712" s="360">
        <v>5</v>
      </c>
      <c r="G712" s="310">
        <f>IF(AND(F712=0,D712=0),"0",IF(AND(F712=0,D712&gt;0),"Rentrer la durée d'amortissement !",D712*E712/F712))</f>
        <v>12204</v>
      </c>
      <c r="H712" s="311"/>
      <c r="I712" s="307">
        <f>_xlfn.IFNA(VLOOKUP($C712,'Facteurs d''émission'!$D$2:$I$340,4,FALSE),"Non présent dans la base")</f>
        <v>0.5</v>
      </c>
      <c r="J712" s="312"/>
      <c r="K712" s="336">
        <f>G712*(1-(1-I712)*(1-J712))</f>
        <v>6102</v>
      </c>
      <c r="L712" s="311" t="str">
        <f>IF(D712*COUNTA(J712)&gt;0,"ok","")</f>
        <v/>
      </c>
      <c r="M712" s="312"/>
      <c r="N712" s="336">
        <f>M712*G712</f>
        <v>0</v>
      </c>
      <c r="P712" s="614"/>
      <c r="Q712" s="615"/>
      <c r="R712" s="615"/>
      <c r="S712" s="615"/>
      <c r="T712" s="616"/>
    </row>
    <row r="713" spans="3:22" s="7" customFormat="1" ht="12">
      <c r="C713" s="14" t="s">
        <v>435</v>
      </c>
      <c r="D713" s="514">
        <v>227</v>
      </c>
      <c r="E713" s="308">
        <f>_xlfn.IFNA(VLOOKUP($C713,'Facteurs d''émission'!$D$2:$I$340,2,FALSE),"Non renseigné")</f>
        <v>169</v>
      </c>
      <c r="F713" s="360">
        <v>3</v>
      </c>
      <c r="G713" s="310">
        <f>IF(AND(F713=0,D713=0),"0",IF(AND(F713=0,D713&gt;0),"Rentrer la durée d'amortissement !",D713*E713/F713))</f>
        <v>12787.666666666666</v>
      </c>
      <c r="H713" s="311"/>
      <c r="I713" s="307">
        <f>_xlfn.IFNA(VLOOKUP($C713,'Facteurs d''émission'!$D$2:$I$340,4,FALSE),"Non présent dans la base")</f>
        <v>0.5</v>
      </c>
      <c r="J713" s="312"/>
      <c r="K713" s="336">
        <f>G713*(1-(1-I713)*(1-J713))</f>
        <v>6393.833333333333</v>
      </c>
      <c r="L713" s="311" t="str">
        <f>IF(D713*COUNTA(J713)&gt;0,"ok","")</f>
        <v/>
      </c>
      <c r="M713" s="312"/>
      <c r="N713" s="336">
        <f>M713*G713</f>
        <v>0</v>
      </c>
      <c r="P713" s="614"/>
      <c r="Q713" s="615"/>
      <c r="R713" s="615"/>
      <c r="S713" s="615"/>
      <c r="T713" s="616"/>
    </row>
    <row r="714" spans="3:22" s="7" customFormat="1" ht="12">
      <c r="C714" s="14" t="s">
        <v>439</v>
      </c>
      <c r="D714" s="514">
        <v>229</v>
      </c>
      <c r="E714" s="308">
        <f>_xlfn.IFNA(VLOOKUP($C714,'Facteurs d''émission'!$D$2:$I$340,2,FALSE),"Non renseigné")</f>
        <v>88</v>
      </c>
      <c r="F714" s="360">
        <v>3</v>
      </c>
      <c r="G714" s="310">
        <f>IF(AND(F714=0,D714=0),"0",IF(AND(F714=0,D714&gt;0),"Rentrer la durée d'amortissement !",D714*E714/F714))</f>
        <v>6717.333333333333</v>
      </c>
      <c r="H714" s="311"/>
      <c r="I714" s="307">
        <f>_xlfn.IFNA(VLOOKUP($C714,'Facteurs d''émission'!$D$2:$I$340,4,FALSE),"Non présent dans la base")</f>
        <v>0.5</v>
      </c>
      <c r="J714" s="312"/>
      <c r="K714" s="336">
        <f>G714*(1-(1-I714)*(1-J714))</f>
        <v>3358.6666666666665</v>
      </c>
      <c r="L714" s="311" t="str">
        <f>IF(D714*COUNTA(J714)&gt;0,"ok","")</f>
        <v/>
      </c>
      <c r="M714" s="312"/>
      <c r="N714" s="336">
        <f>M714*G714</f>
        <v>0</v>
      </c>
      <c r="P714" s="614"/>
      <c r="Q714" s="615"/>
      <c r="R714" s="615"/>
      <c r="S714" s="615"/>
      <c r="T714" s="616"/>
    </row>
    <row r="715" spans="3:22" s="7" customFormat="1" ht="12">
      <c r="C715" s="14" t="s">
        <v>441</v>
      </c>
      <c r="D715" s="514">
        <v>9</v>
      </c>
      <c r="E715" s="308">
        <f>_xlfn.IFNA(VLOOKUP($C715,'Facteurs d''émission'!$D$2:$I$340,2,FALSE),"Non renseigné")</f>
        <v>2940</v>
      </c>
      <c r="F715" s="360">
        <f>(5+2)/2</f>
        <v>3.5</v>
      </c>
      <c r="G715" s="310">
        <f>IF(AND(F715=0,D715=0),"0",IF(AND(F715=0,D715&gt;0),"Rentrer la durée d'amortissement !",D715*E715/F715))</f>
        <v>7560</v>
      </c>
      <c r="H715" s="320"/>
      <c r="I715" s="307">
        <f>_xlfn.IFNA(VLOOKUP($C715,'Facteurs d''émission'!$D$2:$I$340,4,FALSE),"Non présent dans la base")</f>
        <v>0.5</v>
      </c>
      <c r="J715" s="312"/>
      <c r="K715" s="336">
        <f>G715*(1-(1-I715)*(1-J715))</f>
        <v>3780</v>
      </c>
      <c r="L715" s="311" t="str">
        <f>IF(D715*COUNTA(J715)&gt;0,"ok","")</f>
        <v/>
      </c>
      <c r="M715" s="312"/>
      <c r="N715" s="336">
        <f>M715*G715</f>
        <v>0</v>
      </c>
      <c r="P715" s="614"/>
      <c r="Q715" s="615"/>
      <c r="R715" s="615"/>
      <c r="S715" s="615"/>
      <c r="T715" s="616"/>
    </row>
    <row r="716" spans="3:22" s="7" customFormat="1" ht="12">
      <c r="C716" s="14" t="s">
        <v>434</v>
      </c>
      <c r="D716" s="514">
        <v>455</v>
      </c>
      <c r="E716" s="308">
        <f>_xlfn.IFNA(VLOOKUP($C716,'Facteurs d''émission'!$D$2:$I$340,2,FALSE),"Non renseigné")</f>
        <v>222</v>
      </c>
      <c r="F716" s="360">
        <v>3</v>
      </c>
      <c r="G716" s="310">
        <f t="shared" ref="G716:G722" si="172">IF(AND(F716=0,D716=0),"0",IF(AND(F716=0,D716&gt;0),"Rentrer la durée d'amortissement !",D716*E716/F716))</f>
        <v>33670</v>
      </c>
      <c r="H716" s="320"/>
      <c r="I716" s="307">
        <f>_xlfn.IFNA(VLOOKUP($C716,'Facteurs d''émission'!$D$2:$I$340,4,FALSE),"Non présent dans la base")</f>
        <v>0.5</v>
      </c>
      <c r="J716" s="312"/>
      <c r="K716" s="336">
        <f t="shared" ref="K716:K722" si="173">G716*(1-(1-I716)*(1-J716))</f>
        <v>16835</v>
      </c>
      <c r="L716" s="311" t="str">
        <f t="shared" ref="L716:L722" si="174">IF(D716*COUNTA(J716)&gt;0,"ok","")</f>
        <v/>
      </c>
      <c r="M716" s="312"/>
      <c r="N716" s="336">
        <f t="shared" ref="N716:N722" si="175">M716*G716</f>
        <v>0</v>
      </c>
      <c r="P716" s="614"/>
      <c r="Q716" s="615"/>
      <c r="R716" s="615"/>
      <c r="S716" s="615"/>
      <c r="T716" s="616"/>
    </row>
    <row r="717" spans="3:22" s="7" customFormat="1" ht="12">
      <c r="C717" s="14" t="s">
        <v>438</v>
      </c>
      <c r="D717" s="514">
        <v>228</v>
      </c>
      <c r="E717" s="308">
        <v>296</v>
      </c>
      <c r="F717" s="360">
        <v>3</v>
      </c>
      <c r="G717" s="310">
        <f t="shared" si="172"/>
        <v>22496</v>
      </c>
      <c r="H717" s="320"/>
      <c r="I717" s="307">
        <f>_xlfn.IFNA(VLOOKUP($C717,'Facteurs d''émission'!$D$2:$I$340,4,FALSE),"Non présent dans la base")</f>
        <v>0.5</v>
      </c>
      <c r="J717" s="312"/>
      <c r="K717" s="336">
        <f t="shared" si="173"/>
        <v>11248</v>
      </c>
      <c r="L717" s="311" t="str">
        <f t="shared" si="174"/>
        <v/>
      </c>
      <c r="M717" s="312"/>
      <c r="N717" s="336">
        <f t="shared" si="175"/>
        <v>0</v>
      </c>
      <c r="P717" s="614"/>
      <c r="Q717" s="615"/>
      <c r="R717" s="615"/>
      <c r="S717" s="615"/>
      <c r="T717" s="616"/>
    </row>
    <row r="718" spans="3:22" s="7" customFormat="1" ht="12">
      <c r="C718" s="14" t="s">
        <v>306</v>
      </c>
      <c r="D718" s="514"/>
      <c r="E718" s="308">
        <f>_xlfn.IFNA(VLOOKUP($C718,'Facteurs d''émission'!$D$2:$I$340,2,FALSE),"Non renseigné")</f>
        <v>0</v>
      </c>
      <c r="F718" s="360"/>
      <c r="G718" s="310" t="str">
        <f t="shared" si="172"/>
        <v>0</v>
      </c>
      <c r="H718" s="320"/>
      <c r="I718" s="307">
        <f>_xlfn.IFNA(VLOOKUP($C718,'Facteurs d''émission'!$D$2:$I$340,4,FALSE),"Non présent dans la base")</f>
        <v>0</v>
      </c>
      <c r="J718" s="312"/>
      <c r="K718" s="336">
        <f t="shared" si="173"/>
        <v>0</v>
      </c>
      <c r="L718" s="311" t="str">
        <f t="shared" si="174"/>
        <v/>
      </c>
      <c r="M718" s="312"/>
      <c r="N718" s="336">
        <f t="shared" si="175"/>
        <v>0</v>
      </c>
      <c r="P718" s="614"/>
      <c r="Q718" s="615"/>
      <c r="R718" s="615"/>
      <c r="S718" s="615"/>
      <c r="T718" s="616"/>
    </row>
    <row r="719" spans="3:22" s="7" customFormat="1" ht="12">
      <c r="C719" s="14" t="s">
        <v>306</v>
      </c>
      <c r="D719" s="514"/>
      <c r="E719" s="308">
        <f>_xlfn.IFNA(VLOOKUP($C719,'Facteurs d''émission'!$D$2:$I$340,2,FALSE),"Non renseigné")</f>
        <v>0</v>
      </c>
      <c r="F719" s="360"/>
      <c r="G719" s="310" t="str">
        <f t="shared" si="172"/>
        <v>0</v>
      </c>
      <c r="H719" s="320"/>
      <c r="I719" s="307">
        <f>_xlfn.IFNA(VLOOKUP($C719,'Facteurs d''émission'!$D$2:$I$340,4,FALSE),"Non présent dans la base")</f>
        <v>0</v>
      </c>
      <c r="J719" s="312"/>
      <c r="K719" s="336">
        <f t="shared" si="173"/>
        <v>0</v>
      </c>
      <c r="L719" s="311" t="str">
        <f t="shared" si="174"/>
        <v/>
      </c>
      <c r="M719" s="312"/>
      <c r="N719" s="336">
        <f t="shared" si="175"/>
        <v>0</v>
      </c>
      <c r="P719" s="614"/>
      <c r="Q719" s="615"/>
      <c r="R719" s="615"/>
      <c r="S719" s="615"/>
      <c r="T719" s="616"/>
    </row>
    <row r="720" spans="3:22" s="7" customFormat="1" ht="12">
      <c r="C720" s="14" t="s">
        <v>306</v>
      </c>
      <c r="D720" s="514"/>
      <c r="E720" s="308">
        <f>_xlfn.IFNA(VLOOKUP($C720,'Facteurs d''émission'!$D$2:$I$340,2,FALSE),"Non renseigné")</f>
        <v>0</v>
      </c>
      <c r="F720" s="360"/>
      <c r="G720" s="310" t="str">
        <f t="shared" si="172"/>
        <v>0</v>
      </c>
      <c r="H720" s="320"/>
      <c r="I720" s="307">
        <f>_xlfn.IFNA(VLOOKUP($C720,'Facteurs d''émission'!$D$2:$I$340,4,FALSE),"Non présent dans la base")</f>
        <v>0</v>
      </c>
      <c r="J720" s="312"/>
      <c r="K720" s="336">
        <f t="shared" si="173"/>
        <v>0</v>
      </c>
      <c r="L720" s="311" t="str">
        <f t="shared" si="174"/>
        <v/>
      </c>
      <c r="M720" s="312"/>
      <c r="N720" s="336">
        <f t="shared" si="175"/>
        <v>0</v>
      </c>
      <c r="P720" s="614"/>
      <c r="Q720" s="615"/>
      <c r="R720" s="615"/>
      <c r="S720" s="615"/>
      <c r="T720" s="616"/>
    </row>
    <row r="721" spans="3:23" s="7" customFormat="1" ht="12">
      <c r="C721" s="14" t="s">
        <v>306</v>
      </c>
      <c r="D721" s="514"/>
      <c r="E721" s="308">
        <f>_xlfn.IFNA(VLOOKUP($C721,'Facteurs d''émission'!$D$2:$I$340,2,FALSE),"Non renseigné")</f>
        <v>0</v>
      </c>
      <c r="F721" s="360"/>
      <c r="G721" s="310" t="str">
        <f t="shared" si="172"/>
        <v>0</v>
      </c>
      <c r="H721" s="320"/>
      <c r="I721" s="307">
        <f>_xlfn.IFNA(VLOOKUP($C721,'Facteurs d''émission'!$D$2:$I$340,4,FALSE),"Non présent dans la base")</f>
        <v>0</v>
      </c>
      <c r="J721" s="312"/>
      <c r="K721" s="336">
        <f t="shared" si="173"/>
        <v>0</v>
      </c>
      <c r="L721" s="311" t="str">
        <f t="shared" si="174"/>
        <v/>
      </c>
      <c r="M721" s="312"/>
      <c r="N721" s="336">
        <f t="shared" si="175"/>
        <v>0</v>
      </c>
      <c r="P721" s="614"/>
      <c r="Q721" s="615"/>
      <c r="R721" s="615"/>
      <c r="S721" s="615"/>
      <c r="T721" s="616"/>
    </row>
    <row r="722" spans="3:23" s="7" customFormat="1" ht="12">
      <c r="C722" s="14" t="s">
        <v>306</v>
      </c>
      <c r="D722" s="514"/>
      <c r="E722" s="308">
        <f>_xlfn.IFNA(VLOOKUP($C722,'Facteurs d''émission'!$D$2:$I$340,2,FALSE),"Non renseigné")</f>
        <v>0</v>
      </c>
      <c r="F722" s="360"/>
      <c r="G722" s="310" t="str">
        <f t="shared" si="172"/>
        <v>0</v>
      </c>
      <c r="H722" s="311"/>
      <c r="I722" s="307">
        <f>_xlfn.IFNA(VLOOKUP($C722,'Facteurs d''émission'!$D$2:$I$340,4,FALSE),"Non présent dans la base")</f>
        <v>0</v>
      </c>
      <c r="J722" s="312"/>
      <c r="K722" s="336">
        <f t="shared" si="173"/>
        <v>0</v>
      </c>
      <c r="L722" s="311" t="str">
        <f t="shared" si="174"/>
        <v/>
      </c>
      <c r="M722" s="312"/>
      <c r="N722" s="336">
        <f t="shared" si="175"/>
        <v>0</v>
      </c>
      <c r="P722" s="614"/>
      <c r="Q722" s="615"/>
      <c r="R722" s="615"/>
      <c r="S722" s="615"/>
      <c r="T722" s="616"/>
    </row>
    <row r="723" spans="3:23" s="7" customFormat="1" ht="12">
      <c r="C723" s="52" t="s">
        <v>25</v>
      </c>
      <c r="D723" s="518">
        <f>SUM(D712:D722)</f>
        <v>1238</v>
      </c>
      <c r="E723" s="524"/>
      <c r="F723" s="524"/>
      <c r="G723" s="314">
        <f>SUM(G712:G722)</f>
        <v>95435</v>
      </c>
      <c r="H723" s="311"/>
      <c r="I723" s="631" t="str">
        <f>IF(COUNTA(D712:D722)&gt;COUNTIF(L712:L722,"ok"),"! Remplir une incertitude !","")</f>
        <v>! Remplir une incertitude !</v>
      </c>
      <c r="J723" s="632"/>
      <c r="K723" s="314">
        <f>SUM(K712:K722)</f>
        <v>47717.5</v>
      </c>
      <c r="L723" s="319"/>
      <c r="M723" s="315"/>
      <c r="N723" s="314">
        <f>SUM(N712:N722)</f>
        <v>0</v>
      </c>
      <c r="P723" s="593" t="str">
        <f>IF(N723&gt;0,IF(#REF!="","Attention: vous devez planifier une action afin de remplir votre objectif",""),"")</f>
        <v/>
      </c>
      <c r="Q723" s="593"/>
      <c r="R723" s="593"/>
      <c r="S723" s="593"/>
      <c r="T723" s="593"/>
    </row>
    <row r="724" spans="3:23" s="7" customFormat="1" ht="25.2" customHeight="1">
      <c r="E724" s="311"/>
      <c r="F724" s="311"/>
      <c r="G724" s="316"/>
      <c r="H724" s="311"/>
      <c r="I724" s="311"/>
      <c r="J724" s="311"/>
      <c r="K724" s="316"/>
      <c r="L724" s="311"/>
      <c r="M724" s="311"/>
      <c r="N724" s="316"/>
    </row>
    <row r="725" spans="3:23" s="7" customFormat="1" ht="13.2">
      <c r="E725" s="317" t="s">
        <v>353</v>
      </c>
      <c r="F725" s="311"/>
      <c r="G725" s="316"/>
      <c r="H725" s="321"/>
      <c r="I725" s="311"/>
      <c r="J725" s="311"/>
      <c r="K725" s="316"/>
      <c r="L725" s="311"/>
      <c r="M725" s="311"/>
      <c r="N725" s="316"/>
      <c r="W725" s="79"/>
    </row>
    <row r="726" spans="3:23" s="7" customFormat="1">
      <c r="E726" s="311"/>
      <c r="F726" s="311"/>
      <c r="G726" s="316"/>
      <c r="H726" s="311"/>
      <c r="I726" s="311"/>
      <c r="J726" s="319"/>
      <c r="K726" s="316"/>
      <c r="L726" s="311"/>
      <c r="M726" s="311"/>
      <c r="N726" s="316"/>
    </row>
    <row r="727" spans="3:23" s="7" customFormat="1" ht="12">
      <c r="C727" s="219" t="s">
        <v>163</v>
      </c>
      <c r="E727" s="311"/>
      <c r="F727" s="311"/>
      <c r="G727" s="318" t="s">
        <v>307</v>
      </c>
      <c r="H727" s="311"/>
      <c r="I727" s="608" t="s">
        <v>61</v>
      </c>
      <c r="J727" s="608"/>
      <c r="K727" s="608"/>
      <c r="L727" s="319"/>
      <c r="M727" s="608" t="s">
        <v>332</v>
      </c>
      <c r="N727" s="608"/>
      <c r="P727" s="12" t="s">
        <v>109</v>
      </c>
    </row>
    <row r="728" spans="3:23" s="355" customFormat="1" ht="34.200000000000003">
      <c r="C728" s="335" t="s">
        <v>107</v>
      </c>
      <c r="D728" s="335" t="s">
        <v>354</v>
      </c>
      <c r="E728" s="356" t="s">
        <v>355</v>
      </c>
      <c r="F728" s="244" t="s">
        <v>358</v>
      </c>
      <c r="G728" s="357" t="s">
        <v>232</v>
      </c>
      <c r="H728" s="358"/>
      <c r="I728" s="335" t="s">
        <v>286</v>
      </c>
      <c r="J728" s="335" t="s">
        <v>287</v>
      </c>
      <c r="K728" s="357" t="s">
        <v>232</v>
      </c>
      <c r="L728" s="359"/>
      <c r="M728" s="335" t="s">
        <v>288</v>
      </c>
      <c r="N728" s="357" t="s">
        <v>232</v>
      </c>
      <c r="P728" s="607" t="s">
        <v>165</v>
      </c>
      <c r="Q728" s="607"/>
      <c r="R728" s="607"/>
      <c r="S728" s="607"/>
      <c r="T728" s="607"/>
    </row>
    <row r="729" spans="3:23" s="7" customFormat="1">
      <c r="C729" s="14" t="s">
        <v>306</v>
      </c>
      <c r="D729" s="221"/>
      <c r="E729" s="308">
        <f>_xlfn.IFNA(VLOOKUP($C729,'Facteurs d''émission'!$D$2:$I$340,2,FALSE),"Non renseigné")</f>
        <v>0</v>
      </c>
      <c r="F729" s="360"/>
      <c r="G729" s="310" t="str">
        <f>IF(AND(F729=0,D729=0),"0",IF(AND(F729=0,D729&gt;0),"Rentrer la durée d'amortissement !",D729*E729/F729))</f>
        <v>0</v>
      </c>
      <c r="H729" s="311"/>
      <c r="I729" s="307">
        <f>_xlfn.IFNA(VLOOKUP($C729,'Facteurs d''émission'!$D$2:$I$340,4,FALSE),"Non présent dans la base")</f>
        <v>0</v>
      </c>
      <c r="J729" s="312"/>
      <c r="K729" s="336">
        <f>G729*(1-(1-I729)*(1-J729))</f>
        <v>0</v>
      </c>
      <c r="L729" s="311" t="str">
        <f>IF(D729*E729*I729*COUNTA(J729)&gt;0,"ok","")</f>
        <v/>
      </c>
      <c r="M729" s="312"/>
      <c r="N729" s="336">
        <f>M729*G729</f>
        <v>0</v>
      </c>
      <c r="P729" s="614"/>
      <c r="Q729" s="615"/>
      <c r="R729" s="615"/>
      <c r="S729" s="615"/>
      <c r="T729" s="616"/>
    </row>
    <row r="730" spans="3:23" s="7" customFormat="1">
      <c r="C730" s="14" t="s">
        <v>306</v>
      </c>
      <c r="D730" s="222"/>
      <c r="E730" s="308">
        <f>_xlfn.IFNA(VLOOKUP($C730,'Facteurs d''émission'!$D$2:$I$340,2,FALSE),"Non renseigné")</f>
        <v>0</v>
      </c>
      <c r="F730" s="360"/>
      <c r="G730" s="310" t="str">
        <f t="shared" ref="G730:G735" si="176">IF(AND(F730=0,D730=0),"0",IF(AND(F730=0,D730&gt;0),"Rentrer la durée d'amortissement !",D730*E730/F730))</f>
        <v>0</v>
      </c>
      <c r="H730" s="311"/>
      <c r="I730" s="307">
        <f>_xlfn.IFNA(VLOOKUP($C730,'Facteurs d''émission'!$D$2:$I$340,4,FALSE),"Non présent dans la base")</f>
        <v>0</v>
      </c>
      <c r="J730" s="312"/>
      <c r="K730" s="336">
        <f t="shared" ref="K730:K735" si="177">G730*(1-(1-I730)*(1-J730))</f>
        <v>0</v>
      </c>
      <c r="L730" s="311"/>
      <c r="M730" s="312"/>
      <c r="N730" s="336">
        <f t="shared" ref="N730:N735" si="178">M730*G730</f>
        <v>0</v>
      </c>
      <c r="P730" s="614"/>
      <c r="Q730" s="615"/>
      <c r="R730" s="615"/>
      <c r="S730" s="615"/>
      <c r="T730" s="616"/>
    </row>
    <row r="731" spans="3:23" s="7" customFormat="1">
      <c r="C731" s="14" t="s">
        <v>306</v>
      </c>
      <c r="D731" s="222"/>
      <c r="E731" s="308">
        <f>_xlfn.IFNA(VLOOKUP($C731,'Facteurs d''émission'!$D$2:$I$340,2,FALSE),"Non renseigné")</f>
        <v>0</v>
      </c>
      <c r="F731" s="360"/>
      <c r="G731" s="310" t="str">
        <f t="shared" si="176"/>
        <v>0</v>
      </c>
      <c r="H731" s="311"/>
      <c r="I731" s="307">
        <f>_xlfn.IFNA(VLOOKUP($C731,'Facteurs d''émission'!$D$2:$I$340,4,FALSE),"Non présent dans la base")</f>
        <v>0</v>
      </c>
      <c r="J731" s="312"/>
      <c r="K731" s="336">
        <f t="shared" si="177"/>
        <v>0</v>
      </c>
      <c r="L731" s="311"/>
      <c r="M731" s="312"/>
      <c r="N731" s="336">
        <f t="shared" si="178"/>
        <v>0</v>
      </c>
      <c r="P731" s="614"/>
      <c r="Q731" s="615"/>
      <c r="R731" s="615"/>
      <c r="S731" s="615"/>
      <c r="T731" s="616"/>
    </row>
    <row r="732" spans="3:23" s="7" customFormat="1">
      <c r="C732" s="14" t="s">
        <v>306</v>
      </c>
      <c r="D732" s="222"/>
      <c r="E732" s="308">
        <f>_xlfn.IFNA(VLOOKUP($C732,'Facteurs d''émission'!$D$2:$I$340,2,FALSE),"Non renseigné")</f>
        <v>0</v>
      </c>
      <c r="F732" s="360"/>
      <c r="G732" s="310" t="str">
        <f t="shared" si="176"/>
        <v>0</v>
      </c>
      <c r="H732" s="311"/>
      <c r="I732" s="307">
        <f>_xlfn.IFNA(VLOOKUP($C732,'Facteurs d''émission'!$D$2:$I$340,4,FALSE),"Non présent dans la base")</f>
        <v>0</v>
      </c>
      <c r="J732" s="312"/>
      <c r="K732" s="336">
        <f t="shared" si="177"/>
        <v>0</v>
      </c>
      <c r="L732" s="311"/>
      <c r="M732" s="312"/>
      <c r="N732" s="336">
        <f t="shared" si="178"/>
        <v>0</v>
      </c>
      <c r="P732" s="614"/>
      <c r="Q732" s="615"/>
      <c r="R732" s="615"/>
      <c r="S732" s="615"/>
      <c r="T732" s="616"/>
    </row>
    <row r="733" spans="3:23" s="7" customFormat="1">
      <c r="C733" s="14" t="s">
        <v>306</v>
      </c>
      <c r="D733" s="222"/>
      <c r="E733" s="308">
        <f>_xlfn.IFNA(VLOOKUP($C733,'Facteurs d''émission'!$D$2:$I$340,2,FALSE),"Non renseigné")</f>
        <v>0</v>
      </c>
      <c r="F733" s="360"/>
      <c r="G733" s="310" t="str">
        <f t="shared" si="176"/>
        <v>0</v>
      </c>
      <c r="H733" s="311"/>
      <c r="I733" s="307">
        <f>_xlfn.IFNA(VLOOKUP($C733,'Facteurs d''émission'!$D$2:$I$340,4,FALSE),"Non présent dans la base")</f>
        <v>0</v>
      </c>
      <c r="J733" s="312"/>
      <c r="K733" s="336">
        <f t="shared" si="177"/>
        <v>0</v>
      </c>
      <c r="L733" s="311"/>
      <c r="M733" s="312"/>
      <c r="N733" s="336">
        <f t="shared" si="178"/>
        <v>0</v>
      </c>
      <c r="P733" s="614"/>
      <c r="Q733" s="615"/>
      <c r="R733" s="615"/>
      <c r="S733" s="615"/>
      <c r="T733" s="616"/>
    </row>
    <row r="734" spans="3:23" s="7" customFormat="1">
      <c r="C734" s="14" t="s">
        <v>306</v>
      </c>
      <c r="D734" s="222"/>
      <c r="E734" s="308">
        <f>_xlfn.IFNA(VLOOKUP($C734,'Facteurs d''émission'!$D$2:$I$340,2,FALSE),"Non renseigné")</f>
        <v>0</v>
      </c>
      <c r="F734" s="360"/>
      <c r="G734" s="310" t="str">
        <f t="shared" si="176"/>
        <v>0</v>
      </c>
      <c r="H734" s="311"/>
      <c r="I734" s="307">
        <f>_xlfn.IFNA(VLOOKUP($C734,'Facteurs d''émission'!$D$2:$I$340,4,FALSE),"Non présent dans la base")</f>
        <v>0</v>
      </c>
      <c r="J734" s="312"/>
      <c r="K734" s="336">
        <f t="shared" si="177"/>
        <v>0</v>
      </c>
      <c r="L734" s="311"/>
      <c r="M734" s="312"/>
      <c r="N734" s="336">
        <f t="shared" si="178"/>
        <v>0</v>
      </c>
      <c r="P734" s="614"/>
      <c r="Q734" s="615"/>
      <c r="R734" s="615"/>
      <c r="S734" s="615"/>
      <c r="T734" s="616"/>
    </row>
    <row r="735" spans="3:23" s="7" customFormat="1">
      <c r="C735" s="14" t="s">
        <v>306</v>
      </c>
      <c r="D735" s="222"/>
      <c r="E735" s="308">
        <f>_xlfn.IFNA(VLOOKUP($C735,'Facteurs d''émission'!$D$2:$I$340,2,FALSE),"Non renseigné")</f>
        <v>0</v>
      </c>
      <c r="F735" s="360"/>
      <c r="G735" s="310" t="str">
        <f t="shared" si="176"/>
        <v>0</v>
      </c>
      <c r="H735" s="311"/>
      <c r="I735" s="307">
        <f>_xlfn.IFNA(VLOOKUP($C735,'Facteurs d''émission'!$D$2:$I$340,4,FALSE),"Non présent dans la base")</f>
        <v>0</v>
      </c>
      <c r="J735" s="312"/>
      <c r="K735" s="336">
        <f t="shared" si="177"/>
        <v>0</v>
      </c>
      <c r="L735" s="311" t="str">
        <f>IF(D735*E735*I735*COUNTA(J735)&gt;0,"ok","")</f>
        <v/>
      </c>
      <c r="M735" s="312"/>
      <c r="N735" s="336">
        <f t="shared" si="178"/>
        <v>0</v>
      </c>
      <c r="P735" s="614"/>
      <c r="Q735" s="615"/>
      <c r="R735" s="615"/>
      <c r="S735" s="615"/>
      <c r="T735" s="616"/>
    </row>
    <row r="736" spans="3:23" s="7" customFormat="1" ht="12">
      <c r="C736" s="52" t="s">
        <v>25</v>
      </c>
      <c r="D736" s="53"/>
      <c r="E736" s="313"/>
      <c r="F736" s="313"/>
      <c r="G736" s="314">
        <f>SUM(G729:G735)</f>
        <v>0</v>
      </c>
      <c r="H736" s="311"/>
      <c r="I736" s="631" t="str">
        <f>IF(COUNTA(D729:D735)&gt;COUNTIF(L729:L735,"ok"),"! Remplir une incertitude !","")</f>
        <v/>
      </c>
      <c r="J736" s="632"/>
      <c r="K736" s="314">
        <f>SUM(K729:K735)</f>
        <v>0</v>
      </c>
      <c r="L736" s="319"/>
      <c r="M736" s="315"/>
      <c r="N736" s="314">
        <f>SUM(N729:N735)</f>
        <v>0</v>
      </c>
      <c r="P736" s="593" t="str">
        <f>IF(N736&gt;0,IF(#REF!="","Attention: vous devez planifier une action afin de remplir votre objectif",""),"")</f>
        <v/>
      </c>
      <c r="Q736" s="593"/>
      <c r="R736" s="593"/>
      <c r="S736" s="593"/>
      <c r="T736" s="593"/>
    </row>
    <row r="737" spans="1:25" s="65" customFormat="1" ht="13.2">
      <c r="A737" s="64"/>
      <c r="B737" s="64"/>
      <c r="C737" s="64"/>
      <c r="D737" s="64"/>
      <c r="E737" s="64"/>
      <c r="F737" s="64"/>
      <c r="G737" s="87"/>
      <c r="H737" s="93"/>
      <c r="I737" s="64"/>
      <c r="J737" s="64"/>
      <c r="K737" s="87"/>
      <c r="L737" s="91"/>
      <c r="M737" s="91"/>
      <c r="N737" s="87"/>
      <c r="O737" s="64"/>
      <c r="P737" s="64"/>
      <c r="Q737" s="64"/>
      <c r="R737" s="64"/>
      <c r="S737" s="64"/>
      <c r="T737" s="64"/>
      <c r="U737" s="64"/>
      <c r="V737" s="64"/>
      <c r="W737" s="64"/>
      <c r="X737" s="64"/>
      <c r="Y737" s="79"/>
    </row>
    <row r="738" spans="1:25" s="65" customFormat="1" ht="13.2">
      <c r="A738" s="64"/>
      <c r="B738" s="64"/>
      <c r="C738" s="64"/>
      <c r="D738" s="64"/>
      <c r="E738" s="64"/>
      <c r="F738" s="64"/>
      <c r="G738" s="87"/>
      <c r="H738" s="93"/>
      <c r="I738" s="64"/>
      <c r="J738" s="64"/>
      <c r="K738" s="87"/>
      <c r="L738" s="91"/>
      <c r="M738" s="91"/>
      <c r="N738" s="87"/>
      <c r="O738" s="64"/>
      <c r="P738" s="64"/>
      <c r="Q738" s="64"/>
      <c r="R738" s="64"/>
      <c r="S738" s="64"/>
      <c r="T738" s="64"/>
      <c r="U738" s="64"/>
      <c r="V738" s="64"/>
      <c r="W738" s="64"/>
      <c r="X738" s="64"/>
      <c r="Y738" s="79"/>
    </row>
    <row r="739" spans="1:25" s="65" customFormat="1">
      <c r="G739" s="111"/>
      <c r="H739" s="120"/>
      <c r="K739" s="111"/>
      <c r="L739" s="113"/>
      <c r="M739" s="113"/>
      <c r="N739" s="111"/>
    </row>
    <row r="740" spans="1:25" s="65" customFormat="1" ht="15.6">
      <c r="A740" s="64"/>
      <c r="B740" s="64"/>
      <c r="C740" s="630" t="s">
        <v>164</v>
      </c>
      <c r="D740" s="630"/>
      <c r="E740" s="630"/>
      <c r="F740" s="630"/>
      <c r="G740" s="630"/>
      <c r="H740" s="630"/>
      <c r="I740" s="630"/>
      <c r="J740" s="630"/>
      <c r="K740" s="630"/>
      <c r="L740" s="20"/>
      <c r="N740" s="111"/>
    </row>
    <row r="741" spans="1:25" s="65" customFormat="1">
      <c r="G741" s="111"/>
      <c r="I741" s="111"/>
      <c r="K741" s="111"/>
      <c r="N741" s="111"/>
    </row>
    <row r="742" spans="1:25" s="64" customFormat="1" ht="12">
      <c r="A742" s="65"/>
      <c r="B742" s="65"/>
      <c r="C742" s="12" t="s">
        <v>134</v>
      </c>
      <c r="D742" s="13" t="s">
        <v>19</v>
      </c>
      <c r="E742" s="13"/>
      <c r="F742" s="63"/>
      <c r="G742" s="12"/>
      <c r="H742" s="62" t="s">
        <v>61</v>
      </c>
      <c r="I742" s="62"/>
      <c r="J742" s="62"/>
      <c r="K742" s="12"/>
      <c r="L742" s="12" t="s">
        <v>111</v>
      </c>
      <c r="M742" s="7"/>
      <c r="N742" s="7"/>
      <c r="O742" s="13" t="s">
        <v>12</v>
      </c>
    </row>
    <row r="743" spans="1:25" s="65" customFormat="1">
      <c r="A743" s="64"/>
      <c r="B743" s="64"/>
      <c r="C743" s="362" t="s">
        <v>113</v>
      </c>
      <c r="D743" s="363" t="s">
        <v>232</v>
      </c>
      <c r="E743" s="211" t="s">
        <v>304</v>
      </c>
      <c r="F743" s="364" t="s">
        <v>66</v>
      </c>
      <c r="H743" s="211" t="s">
        <v>232</v>
      </c>
      <c r="I743" s="211" t="s">
        <v>304</v>
      </c>
      <c r="J743" s="211" t="s">
        <v>49</v>
      </c>
      <c r="L743" s="211" t="s">
        <v>232</v>
      </c>
      <c r="M743" s="364" t="s">
        <v>304</v>
      </c>
      <c r="N743" s="211" t="s">
        <v>48</v>
      </c>
      <c r="O743" s="211" t="s">
        <v>304</v>
      </c>
    </row>
    <row r="744" spans="1:25" s="65" customFormat="1">
      <c r="C744" s="67" t="s">
        <v>47</v>
      </c>
      <c r="D744" s="68">
        <f>G706</f>
        <v>300910.73333333334</v>
      </c>
      <c r="E744" s="69">
        <f>D744/1000</f>
        <v>300.91073333333333</v>
      </c>
      <c r="F744" s="112">
        <f>IF(E$747=0,"",E744/E$747)</f>
        <v>0.75921274792748283</v>
      </c>
      <c r="H744" s="69">
        <f>K706</f>
        <v>141805.44333333333</v>
      </c>
      <c r="I744" s="69">
        <f>H744/1000</f>
        <v>141.80544333333333</v>
      </c>
      <c r="J744" s="112">
        <f>IF(D744=0,"",H744/D744)</f>
        <v>0.47125418811913433</v>
      </c>
      <c r="L744" s="69">
        <f>N706</f>
        <v>0</v>
      </c>
      <c r="M744" s="69">
        <f>L744/1000</f>
        <v>0</v>
      </c>
      <c r="N744" s="118">
        <f>IF($D744=0,"",L744/$D744)</f>
        <v>0</v>
      </c>
      <c r="O744" s="70">
        <f>E744-M744</f>
        <v>300.91073333333333</v>
      </c>
    </row>
    <row r="745" spans="1:25" s="65" customFormat="1">
      <c r="C745" s="73" t="s">
        <v>17</v>
      </c>
      <c r="D745" s="74">
        <f>G723</f>
        <v>95435</v>
      </c>
      <c r="E745" s="69">
        <f>D745/1000</f>
        <v>95.435000000000002</v>
      </c>
      <c r="F745" s="112">
        <f>IF(E$747=0,"",E745/E$747)</f>
        <v>0.24078725207251717</v>
      </c>
      <c r="H745" s="69">
        <f>K723</f>
        <v>47717.5</v>
      </c>
      <c r="I745" s="69">
        <f>H745/1000</f>
        <v>47.717500000000001</v>
      </c>
      <c r="J745" s="112">
        <f>IF(D745=0,"",H745/D745)</f>
        <v>0.5</v>
      </c>
      <c r="L745" s="69">
        <f>N723</f>
        <v>0</v>
      </c>
      <c r="M745" s="69">
        <f>L745/1000</f>
        <v>0</v>
      </c>
      <c r="N745" s="118">
        <f>IF($D745=0,"",L745/$D745)</f>
        <v>0</v>
      </c>
      <c r="O745" s="70">
        <f>E745-M745</f>
        <v>95.435000000000002</v>
      </c>
    </row>
    <row r="746" spans="1:25" s="65" customFormat="1">
      <c r="C746" s="73" t="s">
        <v>119</v>
      </c>
      <c r="D746" s="74">
        <f>G736</f>
        <v>0</v>
      </c>
      <c r="E746" s="69">
        <f>D746/1000</f>
        <v>0</v>
      </c>
      <c r="F746" s="112">
        <f>IF(E$747=0,"",E746/E$747)</f>
        <v>0</v>
      </c>
      <c r="H746" s="69">
        <f>K736</f>
        <v>0</v>
      </c>
      <c r="I746" s="69">
        <f>H746/1000</f>
        <v>0</v>
      </c>
      <c r="J746" s="112" t="str">
        <f>IF(D746=0,"",H746/D746)</f>
        <v/>
      </c>
      <c r="L746" s="69">
        <f>N736</f>
        <v>0</v>
      </c>
      <c r="M746" s="69">
        <f>L746/1000</f>
        <v>0</v>
      </c>
      <c r="N746" s="118" t="str">
        <f>IF($D746=0,"",L746/$D746)</f>
        <v/>
      </c>
      <c r="O746" s="70">
        <f>E746-M746</f>
        <v>0</v>
      </c>
    </row>
    <row r="747" spans="1:25" s="64" customFormat="1" ht="12">
      <c r="C747" s="52" t="s">
        <v>11</v>
      </c>
      <c r="D747" s="54">
        <f>SUM(D744:D746)</f>
        <v>396345.73333333334</v>
      </c>
      <c r="E747" s="54">
        <f>SUM(E744:E746)</f>
        <v>396.34573333333333</v>
      </c>
      <c r="F747" s="77">
        <f>SUM(F744:F746)</f>
        <v>1</v>
      </c>
      <c r="H747" s="51">
        <f>SUM(H744:H746)</f>
        <v>189522.94333333333</v>
      </c>
      <c r="I747" s="54">
        <f>SUM(I744:I746)</f>
        <v>189.52294333333333</v>
      </c>
      <c r="J747" s="75">
        <f>IF(D747=0,"",H747/D747)</f>
        <v>0.47817581317052149</v>
      </c>
      <c r="K747" s="12"/>
      <c r="L747" s="51">
        <f>SUM(L744:L746)</f>
        <v>0</v>
      </c>
      <c r="M747" s="51">
        <f>SUM(M744:M746)</f>
        <v>0</v>
      </c>
      <c r="N747" s="77">
        <f>IF($D747=0,"",L747/$D747)</f>
        <v>0</v>
      </c>
      <c r="O747" s="51">
        <f>SUM(O744:O746)</f>
        <v>396.34573333333333</v>
      </c>
    </row>
    <row r="748" spans="1:25" s="64" customFormat="1" ht="12">
      <c r="C748" s="12"/>
      <c r="D748" s="12"/>
      <c r="E748" s="12"/>
      <c r="F748" s="12"/>
      <c r="G748" s="63"/>
      <c r="H748" s="12"/>
      <c r="I748" s="12"/>
      <c r="J748" s="12"/>
      <c r="K748" s="63"/>
      <c r="L748" s="12"/>
      <c r="M748" s="76"/>
      <c r="N748" s="63"/>
      <c r="O748" s="12"/>
      <c r="P748" s="12"/>
    </row>
    <row r="749" spans="1:25" s="64" customFormat="1" ht="12">
      <c r="C749" s="12"/>
      <c r="D749" s="12"/>
      <c r="E749" s="12"/>
      <c r="F749" s="12"/>
      <c r="G749" s="63"/>
      <c r="H749" s="12"/>
      <c r="I749" s="12"/>
      <c r="J749" s="12"/>
      <c r="K749" s="148"/>
      <c r="L749" s="12"/>
      <c r="M749" s="12"/>
      <c r="N749" s="63"/>
    </row>
    <row r="750" spans="1:25" s="64" customFormat="1" ht="12">
      <c r="C750" s="12"/>
      <c r="D750" s="12"/>
      <c r="E750" s="12"/>
      <c r="F750" s="12"/>
      <c r="G750" s="63"/>
      <c r="H750" s="12"/>
      <c r="I750" s="12"/>
      <c r="J750" s="12"/>
      <c r="K750" s="148"/>
      <c r="L750" s="12"/>
      <c r="M750" s="12"/>
      <c r="N750" s="63"/>
    </row>
    <row r="751" spans="1:25" s="7" customFormat="1" ht="12">
      <c r="C751" s="80"/>
      <c r="D751" s="80"/>
      <c r="E751" s="80"/>
      <c r="F751" s="80"/>
      <c r="G751" s="136"/>
      <c r="H751" s="80"/>
      <c r="I751" s="80"/>
      <c r="J751" s="80"/>
      <c r="K751" s="136"/>
      <c r="L751" s="80"/>
      <c r="M751" s="80"/>
      <c r="N751" s="136"/>
      <c r="O751" s="80"/>
    </row>
    <row r="752" spans="1:25" s="7" customFormat="1">
      <c r="G752" s="11"/>
      <c r="K752" s="149"/>
      <c r="L752" s="91"/>
      <c r="N752" s="11"/>
    </row>
    <row r="753" spans="7:31" s="7" customFormat="1">
      <c r="G753" s="11"/>
      <c r="K753" s="149"/>
      <c r="L753" s="91"/>
      <c r="N753" s="11"/>
    </row>
    <row r="754" spans="7:31" s="7" customFormat="1">
      <c r="G754" s="11"/>
      <c r="K754" s="11"/>
      <c r="N754" s="11"/>
    </row>
    <row r="755" spans="7:31" s="7" customFormat="1">
      <c r="G755" s="11"/>
      <c r="K755" s="11"/>
      <c r="N755" s="11"/>
    </row>
    <row r="756" spans="7:31" s="7" customFormat="1">
      <c r="G756" s="11"/>
      <c r="K756" s="11"/>
      <c r="N756" s="11"/>
    </row>
    <row r="757" spans="7:31" s="7" customFormat="1">
      <c r="G757" s="11"/>
      <c r="K757" s="11"/>
      <c r="N757" s="11"/>
    </row>
    <row r="758" spans="7:31" s="7" customFormat="1">
      <c r="G758" s="11"/>
      <c r="K758" s="11"/>
      <c r="N758" s="11"/>
    </row>
    <row r="759" spans="7:31" s="7" customFormat="1">
      <c r="G759" s="11"/>
      <c r="K759" s="11"/>
      <c r="N759" s="11"/>
    </row>
    <row r="760" spans="7:31" s="7" customFormat="1">
      <c r="G760" s="11"/>
      <c r="K760" s="11"/>
      <c r="N760" s="11"/>
    </row>
    <row r="761" spans="7:31" s="7" customFormat="1">
      <c r="G761" s="11"/>
      <c r="K761" s="11"/>
      <c r="N761" s="11"/>
    </row>
    <row r="762" spans="7:31" s="7" customFormat="1">
      <c r="G762" s="11"/>
      <c r="K762" s="11"/>
      <c r="N762" s="11"/>
    </row>
    <row r="763" spans="7:31" s="7" customFormat="1">
      <c r="G763" s="11"/>
      <c r="K763" s="11"/>
      <c r="N763" s="11"/>
    </row>
    <row r="764" spans="7:31" s="7" customFormat="1">
      <c r="G764" s="11"/>
      <c r="K764" s="11"/>
      <c r="N764" s="11"/>
    </row>
    <row r="765" spans="7:31" s="7" customFormat="1">
      <c r="G765" s="11"/>
      <c r="K765" s="11"/>
      <c r="N765" s="11"/>
    </row>
    <row r="766" spans="7:31" s="7" customFormat="1">
      <c r="G766" s="11"/>
      <c r="K766" s="11"/>
      <c r="N766" s="11"/>
    </row>
    <row r="767" spans="7:31" s="7" customFormat="1" ht="13.2">
      <c r="G767" s="11"/>
      <c r="K767" s="11"/>
      <c r="N767" s="11"/>
      <c r="AE767" s="79"/>
    </row>
    <row r="768" spans="7:31" s="7" customFormat="1">
      <c r="G768" s="11"/>
      <c r="K768" s="11"/>
      <c r="N768" s="11"/>
    </row>
    <row r="769" spans="3:32" s="7" customFormat="1">
      <c r="G769" s="11"/>
      <c r="K769" s="11"/>
      <c r="N769" s="11"/>
    </row>
    <row r="770" spans="3:32" s="7" customFormat="1">
      <c r="G770" s="11"/>
      <c r="K770" s="11"/>
      <c r="N770" s="11"/>
    </row>
    <row r="771" spans="3:32" s="7" customFormat="1">
      <c r="G771" s="11"/>
      <c r="K771" s="11"/>
      <c r="N771" s="11"/>
    </row>
    <row r="772" spans="3:32" s="7" customFormat="1">
      <c r="G772" s="11"/>
      <c r="K772" s="11"/>
      <c r="N772" s="11"/>
    </row>
    <row r="773" spans="3:32" s="7" customFormat="1">
      <c r="G773" s="11"/>
      <c r="K773" s="11"/>
      <c r="N773" s="11"/>
    </row>
    <row r="774" spans="3:32" s="7" customFormat="1">
      <c r="G774" s="11"/>
      <c r="K774" s="11"/>
      <c r="N774" s="11"/>
    </row>
    <row r="775" spans="3:32" s="7" customFormat="1">
      <c r="G775" s="11"/>
      <c r="K775" s="11"/>
      <c r="N775" s="11"/>
    </row>
    <row r="776" spans="3:32" s="7" customFormat="1">
      <c r="G776" s="11"/>
      <c r="K776" s="11"/>
      <c r="N776" s="11"/>
    </row>
    <row r="777" spans="3:32" s="7" customFormat="1" ht="13.2">
      <c r="G777" s="11"/>
      <c r="K777" s="11"/>
      <c r="N777" s="11"/>
      <c r="Y777" s="79"/>
    </row>
    <row r="778" spans="3:32" s="7" customFormat="1">
      <c r="G778" s="11"/>
      <c r="K778" s="11"/>
      <c r="N778" s="11"/>
    </row>
    <row r="779" spans="3:32" s="7" customFormat="1">
      <c r="G779" s="11"/>
      <c r="K779" s="11"/>
      <c r="N779" s="11"/>
    </row>
    <row r="780" spans="3:32" s="7" customFormat="1" ht="59.4" customHeight="1">
      <c r="G780" s="11"/>
      <c r="K780" s="11"/>
      <c r="N780" s="11"/>
    </row>
    <row r="781" spans="3:32" s="7" customFormat="1">
      <c r="G781" s="11"/>
      <c r="K781" s="11"/>
      <c r="N781" s="11"/>
    </row>
    <row r="782" spans="3:32" s="7" customFormat="1" ht="22.8">
      <c r="C782" s="579" t="s">
        <v>166</v>
      </c>
      <c r="D782" s="579"/>
      <c r="E782" s="579"/>
      <c r="F782" s="579"/>
      <c r="G782" s="579"/>
      <c r="H782" s="579"/>
      <c r="I782" s="579"/>
      <c r="J782" s="579"/>
      <c r="K782" s="629"/>
      <c r="L782" s="629"/>
      <c r="M782" s="227"/>
      <c r="N782" s="11"/>
    </row>
    <row r="783" spans="3:32" s="64" customFormat="1" ht="12.75" customHeight="1">
      <c r="C783" s="13"/>
      <c r="D783" s="13"/>
      <c r="E783" s="13"/>
      <c r="F783" s="13"/>
      <c r="G783" s="135"/>
      <c r="H783" s="13"/>
      <c r="I783" s="13"/>
      <c r="J783" s="13"/>
      <c r="K783" s="87"/>
      <c r="N783" s="87"/>
    </row>
    <row r="784" spans="3:32" s="64" customFormat="1" ht="12">
      <c r="C784" s="13"/>
      <c r="D784" s="13"/>
      <c r="E784" s="13"/>
      <c r="F784" s="13"/>
      <c r="G784" s="135"/>
      <c r="H784" s="13"/>
      <c r="I784" s="13"/>
      <c r="J784" s="13"/>
      <c r="K784" s="87"/>
      <c r="N784" s="87"/>
      <c r="AB784" s="7"/>
      <c r="AC784" s="7"/>
      <c r="AD784" s="7"/>
      <c r="AE784" s="7"/>
      <c r="AF784" s="7"/>
    </row>
    <row r="785" spans="3:32" s="64" customFormat="1">
      <c r="G785" s="87"/>
      <c r="K785" s="87"/>
      <c r="N785" s="87"/>
      <c r="AB785" s="7"/>
      <c r="AC785" s="7"/>
      <c r="AD785" s="7"/>
      <c r="AE785" s="7"/>
      <c r="AF785" s="7"/>
    </row>
    <row r="786" spans="3:32" s="12" customFormat="1" ht="12">
      <c r="C786" s="12" t="s">
        <v>87</v>
      </c>
      <c r="E786" s="13" t="s">
        <v>19</v>
      </c>
      <c r="F786" s="13"/>
      <c r="G786" s="63"/>
      <c r="I786" s="572" t="s">
        <v>61</v>
      </c>
      <c r="J786" s="572"/>
      <c r="K786" s="147"/>
      <c r="M786" s="588" t="s">
        <v>111</v>
      </c>
      <c r="N786" s="588"/>
      <c r="O786" s="588"/>
      <c r="P786" s="13" t="s">
        <v>12</v>
      </c>
      <c r="AB786" s="7"/>
      <c r="AC786" s="7"/>
      <c r="AD786" s="7"/>
      <c r="AE786" s="7"/>
      <c r="AF786" s="7"/>
    </row>
    <row r="787" spans="3:32" s="12" customFormat="1" ht="12">
      <c r="C787" s="121" t="s">
        <v>18</v>
      </c>
      <c r="D787" s="81"/>
      <c r="E787" s="59" t="s">
        <v>232</v>
      </c>
      <c r="F787" s="17" t="s">
        <v>304</v>
      </c>
      <c r="G787" s="141" t="s">
        <v>66</v>
      </c>
      <c r="I787" s="17" t="s">
        <v>232</v>
      </c>
      <c r="J787" s="17" t="s">
        <v>304</v>
      </c>
      <c r="K787" s="17" t="s">
        <v>49</v>
      </c>
      <c r="M787" s="17" t="s">
        <v>232</v>
      </c>
      <c r="N787" s="141" t="s">
        <v>304</v>
      </c>
      <c r="O787" s="17" t="s">
        <v>48</v>
      </c>
      <c r="P787" s="17" t="s">
        <v>304</v>
      </c>
      <c r="AB787" s="7"/>
      <c r="AC787" s="7"/>
      <c r="AD787" s="7"/>
      <c r="AE787" s="7"/>
      <c r="AF787" s="7"/>
    </row>
    <row r="788" spans="3:32" s="12" customFormat="1" ht="12">
      <c r="C788" s="122" t="s">
        <v>8</v>
      </c>
      <c r="D788" s="123"/>
      <c r="E788" s="124">
        <f>E61</f>
        <v>1253963.19</v>
      </c>
      <c r="F788" s="125">
        <f t="shared" ref="F788:F794" si="179">E788/1000</f>
        <v>1253.9631899999999</v>
      </c>
      <c r="G788" s="156">
        <f t="shared" ref="G788:G794" si="180">IF(F$795=0,"",F788/F$795)</f>
        <v>0.4702501207675448</v>
      </c>
      <c r="H788" s="63"/>
      <c r="I788" s="125">
        <f>I61</f>
        <v>144941.91900000005</v>
      </c>
      <c r="J788" s="125">
        <f>I788/1000</f>
        <v>144.94191900000004</v>
      </c>
      <c r="K788" s="156">
        <f t="shared" ref="K788:K795" si="181">IF(E788=0,"",I788/E788)</f>
        <v>0.11558706041442895</v>
      </c>
      <c r="L788" s="63"/>
      <c r="M788" s="125">
        <f>M61</f>
        <v>0</v>
      </c>
      <c r="N788" s="125">
        <f t="shared" ref="N788:N794" si="182">M788/1000</f>
        <v>0</v>
      </c>
      <c r="O788" s="77">
        <f t="shared" ref="O788:O794" si="183">IF($E788=0,"",M788/$E788)</f>
        <v>0</v>
      </c>
      <c r="P788" s="125">
        <f t="shared" ref="P788:P794" si="184">F788-N788</f>
        <v>1253.9631899999999</v>
      </c>
      <c r="AB788" s="7"/>
      <c r="AC788" s="7"/>
      <c r="AD788" s="7"/>
      <c r="AE788" s="7"/>
      <c r="AF788" s="7"/>
    </row>
    <row r="789" spans="3:32" s="12" customFormat="1" ht="12">
      <c r="C789" s="122" t="s">
        <v>62</v>
      </c>
      <c r="D789" s="123"/>
      <c r="E789" s="124">
        <f>E168</f>
        <v>32752</v>
      </c>
      <c r="F789" s="125">
        <f t="shared" si="179"/>
        <v>32.752000000000002</v>
      </c>
      <c r="G789" s="156">
        <f t="shared" si="180"/>
        <v>1.2282363691535977E-2</v>
      </c>
      <c r="H789" s="63"/>
      <c r="I789" s="125">
        <f>I168</f>
        <v>22926.399999999998</v>
      </c>
      <c r="J789" s="125">
        <f t="shared" ref="J789:J794" si="185">I789/1000</f>
        <v>22.926399999999997</v>
      </c>
      <c r="K789" s="156">
        <f t="shared" si="181"/>
        <v>0.7</v>
      </c>
      <c r="L789" s="63"/>
      <c r="M789" s="125">
        <f>M168</f>
        <v>0</v>
      </c>
      <c r="N789" s="125">
        <f t="shared" si="182"/>
        <v>0</v>
      </c>
      <c r="O789" s="77">
        <f t="shared" si="183"/>
        <v>0</v>
      </c>
      <c r="P789" s="125">
        <f t="shared" si="184"/>
        <v>32.752000000000002</v>
      </c>
      <c r="AB789" s="7"/>
      <c r="AC789" s="7"/>
      <c r="AD789" s="7"/>
      <c r="AE789" s="7"/>
      <c r="AF789" s="7"/>
    </row>
    <row r="790" spans="3:32" s="12" customFormat="1" ht="12">
      <c r="C790" s="122" t="s">
        <v>114</v>
      </c>
      <c r="D790" s="123"/>
      <c r="E790" s="54">
        <f>D302</f>
        <v>490436.16000000003</v>
      </c>
      <c r="F790" s="51">
        <f t="shared" si="179"/>
        <v>490.43616000000003</v>
      </c>
      <c r="G790" s="156">
        <f t="shared" si="180"/>
        <v>0.18391900600269689</v>
      </c>
      <c r="H790" s="63"/>
      <c r="I790" s="51">
        <f>I302</f>
        <v>325969.51199999993</v>
      </c>
      <c r="J790" s="51">
        <f t="shared" si="185"/>
        <v>325.96951199999995</v>
      </c>
      <c r="K790" s="75">
        <f t="shared" si="181"/>
        <v>0.66465228012551092</v>
      </c>
      <c r="L790" s="63"/>
      <c r="M790" s="51">
        <f>M302</f>
        <v>0</v>
      </c>
      <c r="N790" s="51">
        <f t="shared" si="182"/>
        <v>0</v>
      </c>
      <c r="O790" s="77">
        <f t="shared" si="183"/>
        <v>0</v>
      </c>
      <c r="P790" s="51">
        <f t="shared" si="184"/>
        <v>490.43616000000003</v>
      </c>
      <c r="AB790" s="7"/>
      <c r="AC790" s="7"/>
      <c r="AD790" s="7"/>
      <c r="AE790" s="7"/>
      <c r="AF790" s="7"/>
    </row>
    <row r="791" spans="3:32" s="12" customFormat="1" ht="12">
      <c r="C791" s="122" t="s">
        <v>84</v>
      </c>
      <c r="D791" s="123"/>
      <c r="E791" s="124">
        <f>D433</f>
        <v>28703.466</v>
      </c>
      <c r="F791" s="125">
        <f t="shared" si="179"/>
        <v>28.703465999999999</v>
      </c>
      <c r="G791" s="156">
        <f t="shared" si="180"/>
        <v>1.0764118484966945E-2</v>
      </c>
      <c r="H791" s="63"/>
      <c r="I791" s="125">
        <f>I433</f>
        <v>1306.5273999999999</v>
      </c>
      <c r="J791" s="125">
        <f t="shared" si="185"/>
        <v>1.3065274</v>
      </c>
      <c r="K791" s="156">
        <f t="shared" si="181"/>
        <v>4.551810572284197E-2</v>
      </c>
      <c r="L791" s="63"/>
      <c r="M791" s="125">
        <f>M433</f>
        <v>0</v>
      </c>
      <c r="N791" s="125">
        <f t="shared" si="182"/>
        <v>0</v>
      </c>
      <c r="O791" s="77">
        <f t="shared" si="183"/>
        <v>0</v>
      </c>
      <c r="P791" s="125">
        <f t="shared" si="184"/>
        <v>28.703465999999999</v>
      </c>
      <c r="AB791" s="7"/>
      <c r="AC791" s="7"/>
      <c r="AD791" s="7"/>
      <c r="AE791" s="7"/>
      <c r="AF791" s="7"/>
    </row>
    <row r="792" spans="3:32" s="12" customFormat="1" ht="12">
      <c r="C792" s="122" t="s">
        <v>81</v>
      </c>
      <c r="D792" s="123"/>
      <c r="E792" s="124">
        <f>D569</f>
        <v>457164</v>
      </c>
      <c r="F792" s="125">
        <f t="shared" si="179"/>
        <v>457.16399999999999</v>
      </c>
      <c r="G792" s="156">
        <f t="shared" si="180"/>
        <v>0.17144157653509259</v>
      </c>
      <c r="H792" s="63"/>
      <c r="I792" s="125">
        <f>H569</f>
        <v>228582</v>
      </c>
      <c r="J792" s="125">
        <f t="shared" si="185"/>
        <v>228.58199999999999</v>
      </c>
      <c r="K792" s="156">
        <f t="shared" si="181"/>
        <v>0.5</v>
      </c>
      <c r="L792" s="63"/>
      <c r="M792" s="125">
        <f>L569</f>
        <v>0</v>
      </c>
      <c r="N792" s="125">
        <f t="shared" si="182"/>
        <v>0</v>
      </c>
      <c r="O792" s="77">
        <f t="shared" si="183"/>
        <v>0</v>
      </c>
      <c r="P792" s="125">
        <f t="shared" si="184"/>
        <v>457.16399999999999</v>
      </c>
      <c r="AB792" s="7"/>
      <c r="AC792" s="7"/>
      <c r="AD792" s="7"/>
      <c r="AE792" s="7"/>
      <c r="AF792" s="7"/>
    </row>
    <row r="793" spans="3:32" s="12" customFormat="1" ht="12">
      <c r="C793" s="122" t="s">
        <v>15</v>
      </c>
      <c r="D793" s="123"/>
      <c r="E793" s="124">
        <f>E647</f>
        <v>7223.1549999999997</v>
      </c>
      <c r="F793" s="125">
        <f t="shared" si="179"/>
        <v>7.2231549999999993</v>
      </c>
      <c r="G793" s="156">
        <f t="shared" si="180"/>
        <v>2.7087633338524833E-3</v>
      </c>
      <c r="H793" s="63"/>
      <c r="I793" s="125">
        <f>I647</f>
        <v>1462.2024999999996</v>
      </c>
      <c r="J793" s="125">
        <f t="shared" si="185"/>
        <v>1.4622024999999996</v>
      </c>
      <c r="K793" s="156">
        <f t="shared" si="181"/>
        <v>0.20243266273532823</v>
      </c>
      <c r="L793" s="63"/>
      <c r="M793" s="125">
        <f>M647</f>
        <v>0</v>
      </c>
      <c r="N793" s="125">
        <f t="shared" si="182"/>
        <v>0</v>
      </c>
      <c r="O793" s="77">
        <f t="shared" si="183"/>
        <v>0</v>
      </c>
      <c r="P793" s="125">
        <f t="shared" si="184"/>
        <v>7.2231549999999993</v>
      </c>
      <c r="AB793" s="7"/>
      <c r="AC793" s="7"/>
      <c r="AD793" s="7"/>
      <c r="AE793" s="7"/>
      <c r="AF793" s="7"/>
    </row>
    <row r="794" spans="3:32" s="12" customFormat="1" ht="12">
      <c r="C794" s="126" t="s">
        <v>9</v>
      </c>
      <c r="D794" s="127"/>
      <c r="E794" s="128">
        <f>D747</f>
        <v>396345.73333333334</v>
      </c>
      <c r="F794" s="125">
        <f t="shared" si="179"/>
        <v>396.34573333333333</v>
      </c>
      <c r="G794" s="156">
        <f t="shared" si="180"/>
        <v>0.14863405118431039</v>
      </c>
      <c r="H794" s="63"/>
      <c r="I794" s="125">
        <f>H747</f>
        <v>189522.94333333333</v>
      </c>
      <c r="J794" s="125">
        <f t="shared" si="185"/>
        <v>189.52294333333333</v>
      </c>
      <c r="K794" s="156">
        <f t="shared" si="181"/>
        <v>0.47817581317052149</v>
      </c>
      <c r="L794" s="63"/>
      <c r="M794" s="125">
        <f>L747</f>
        <v>0</v>
      </c>
      <c r="N794" s="125">
        <f t="shared" si="182"/>
        <v>0</v>
      </c>
      <c r="O794" s="77">
        <f t="shared" si="183"/>
        <v>0</v>
      </c>
      <c r="P794" s="125">
        <f t="shared" si="184"/>
        <v>396.34573333333333</v>
      </c>
      <c r="AB794" s="7"/>
      <c r="AC794" s="7"/>
      <c r="AD794" s="7"/>
      <c r="AE794" s="7"/>
      <c r="AF794" s="7"/>
    </row>
    <row r="795" spans="3:32" s="12" customFormat="1" ht="12">
      <c r="C795" s="122" t="s">
        <v>11</v>
      </c>
      <c r="D795" s="129"/>
      <c r="E795" s="124">
        <f>SUM(E788:E794)</f>
        <v>2666587.7043333333</v>
      </c>
      <c r="F795" s="124">
        <f>SUM(F788:F794)</f>
        <v>2666.587704333333</v>
      </c>
      <c r="G795" s="156">
        <f>SUM(G788:G794)</f>
        <v>1</v>
      </c>
      <c r="H795" s="63"/>
      <c r="I795" s="125">
        <f>SUM(I788:I794)</f>
        <v>914711.5042333334</v>
      </c>
      <c r="J795" s="124">
        <f>SUM(J788:J794)</f>
        <v>914.71150423333324</v>
      </c>
      <c r="K795" s="156">
        <f t="shared" si="181"/>
        <v>0.34302697141627225</v>
      </c>
      <c r="L795" s="63"/>
      <c r="M795" s="125">
        <f>SUM(M788:M794)</f>
        <v>0</v>
      </c>
      <c r="N795" s="125">
        <f>SUM(N788:N794)</f>
        <v>0</v>
      </c>
      <c r="O795" s="77">
        <f>IF($E795=0,"",M795/$E795)</f>
        <v>0</v>
      </c>
      <c r="P795" s="125">
        <f>SUM(P788:P794)</f>
        <v>2666.587704333333</v>
      </c>
      <c r="AB795" s="7"/>
      <c r="AC795" s="7"/>
      <c r="AD795" s="7"/>
      <c r="AE795" s="7"/>
      <c r="AF795" s="7"/>
    </row>
    <row r="796" spans="3:32" s="64" customFormat="1" ht="12">
      <c r="C796" s="12"/>
      <c r="D796" s="12"/>
      <c r="E796" s="12"/>
      <c r="F796" s="12"/>
      <c r="G796" s="63"/>
      <c r="H796" s="12"/>
      <c r="I796" s="12"/>
      <c r="J796" s="12"/>
      <c r="K796" s="63"/>
      <c r="L796" s="12"/>
      <c r="M796" s="76"/>
      <c r="N796" s="63"/>
      <c r="O796" s="12"/>
      <c r="P796" s="12"/>
    </row>
    <row r="797" spans="3:32" s="64" customFormat="1">
      <c r="G797" s="87"/>
      <c r="K797" s="87"/>
      <c r="N797" s="87"/>
    </row>
    <row r="798" spans="3:32" s="64" customFormat="1">
      <c r="G798" s="87"/>
      <c r="K798" s="87"/>
      <c r="N798" s="87"/>
    </row>
    <row r="799" spans="3:32" s="64" customFormat="1">
      <c r="G799" s="87"/>
      <c r="K799" s="87"/>
      <c r="N799" s="87"/>
    </row>
    <row r="800" spans="3:32" s="64" customFormat="1">
      <c r="G800" s="87"/>
      <c r="K800" s="87"/>
      <c r="N800" s="87"/>
    </row>
    <row r="801" spans="7:14" s="64" customFormat="1">
      <c r="G801" s="87"/>
      <c r="K801" s="87"/>
      <c r="N801" s="87"/>
    </row>
    <row r="802" spans="7:14" s="64" customFormat="1">
      <c r="G802" s="87"/>
      <c r="K802" s="87"/>
      <c r="N802" s="87"/>
    </row>
    <row r="803" spans="7:14" s="64" customFormat="1">
      <c r="G803" s="87"/>
      <c r="K803" s="87"/>
      <c r="N803" s="87"/>
    </row>
    <row r="804" spans="7:14" s="64" customFormat="1">
      <c r="G804" s="87"/>
      <c r="K804" s="87"/>
      <c r="N804" s="87"/>
    </row>
    <row r="805" spans="7:14" s="64" customFormat="1">
      <c r="G805" s="87"/>
      <c r="K805" s="87"/>
      <c r="N805" s="87"/>
    </row>
    <row r="806" spans="7:14" s="64" customFormat="1">
      <c r="G806" s="87"/>
      <c r="K806" s="87"/>
      <c r="N806" s="87"/>
    </row>
    <row r="807" spans="7:14" s="64" customFormat="1">
      <c r="G807" s="87"/>
      <c r="K807" s="87"/>
      <c r="N807" s="87"/>
    </row>
    <row r="808" spans="7:14" s="64" customFormat="1">
      <c r="G808" s="87"/>
      <c r="K808" s="87"/>
      <c r="N808" s="87"/>
    </row>
    <row r="809" spans="7:14" s="64" customFormat="1">
      <c r="G809" s="87"/>
      <c r="K809" s="87"/>
      <c r="N809" s="87"/>
    </row>
    <row r="810" spans="7:14" s="64" customFormat="1">
      <c r="G810" s="87"/>
      <c r="K810" s="87"/>
      <c r="N810" s="87"/>
    </row>
    <row r="811" spans="7:14" s="64" customFormat="1">
      <c r="G811" s="87"/>
      <c r="K811" s="87"/>
      <c r="N811" s="87"/>
    </row>
    <row r="812" spans="7:14" s="64" customFormat="1">
      <c r="G812" s="87"/>
      <c r="K812" s="87"/>
      <c r="N812" s="87"/>
    </row>
    <row r="813" spans="7:14" s="64" customFormat="1">
      <c r="G813" s="87"/>
      <c r="K813" s="87"/>
      <c r="N813" s="87"/>
    </row>
    <row r="814" spans="7:14" s="64" customFormat="1">
      <c r="G814" s="87"/>
      <c r="K814" s="87"/>
      <c r="N814" s="87"/>
    </row>
    <row r="815" spans="7:14" s="64" customFormat="1">
      <c r="G815" s="87"/>
      <c r="K815" s="87"/>
      <c r="N815" s="87"/>
    </row>
    <row r="816" spans="7:14" s="64" customFormat="1">
      <c r="G816" s="87"/>
      <c r="K816" s="87"/>
      <c r="N816" s="87"/>
    </row>
    <row r="817" spans="1:31" s="65" customFormat="1" ht="13.2">
      <c r="A817" s="64"/>
      <c r="B817" s="64"/>
      <c r="C817" s="64"/>
      <c r="D817" s="64"/>
      <c r="E817" s="64"/>
      <c r="F817" s="64"/>
      <c r="G817" s="87"/>
      <c r="H817" s="64"/>
      <c r="I817" s="64"/>
      <c r="J817" s="64"/>
      <c r="K817" s="87"/>
      <c r="L817" s="64"/>
      <c r="M817" s="64"/>
      <c r="N817" s="87"/>
      <c r="O817" s="64"/>
      <c r="P817" s="64"/>
      <c r="Q817" s="64"/>
      <c r="R817" s="64"/>
      <c r="S817" s="64"/>
      <c r="T817" s="64"/>
      <c r="U817" s="64"/>
      <c r="V817" s="64"/>
      <c r="W817" s="64"/>
      <c r="X817" s="64"/>
      <c r="Y817" s="64"/>
      <c r="Z817" s="64"/>
      <c r="AA817" s="64"/>
      <c r="AB817" s="64"/>
      <c r="AC817" s="64"/>
      <c r="AD817" s="64"/>
      <c r="AE817" s="79"/>
    </row>
    <row r="818" spans="1:31" s="65" customFormat="1">
      <c r="G818" s="111"/>
      <c r="K818" s="111"/>
      <c r="N818" s="111"/>
    </row>
    <row r="819" spans="1:31" s="65" customFormat="1">
      <c r="G819" s="111"/>
      <c r="K819" s="111"/>
      <c r="N819" s="111"/>
    </row>
    <row r="820" spans="1:31" s="65" customFormat="1">
      <c r="G820" s="111"/>
      <c r="K820" s="111"/>
      <c r="N820" s="111"/>
    </row>
    <row r="821" spans="1:31" s="65" customFormat="1">
      <c r="G821" s="111"/>
      <c r="K821" s="111"/>
      <c r="N821" s="111"/>
    </row>
    <row r="822" spans="1:31" s="65" customFormat="1">
      <c r="G822" s="111"/>
      <c r="K822" s="111"/>
      <c r="N822" s="111"/>
    </row>
    <row r="823" spans="1:31" s="65" customFormat="1">
      <c r="G823" s="111"/>
      <c r="K823" s="111"/>
      <c r="N823" s="111"/>
    </row>
    <row r="824" spans="1:31" s="65" customFormat="1">
      <c r="G824" s="111"/>
      <c r="K824" s="111"/>
      <c r="N824" s="111"/>
    </row>
    <row r="825" spans="1:31" s="65" customFormat="1">
      <c r="G825" s="111"/>
      <c r="K825" s="111"/>
      <c r="N825" s="111"/>
    </row>
  </sheetData>
  <protectedRanges>
    <protectedRange sqref="D113:D120" name="Plage1"/>
    <protectedRange sqref="J114:J120" name="Plage2"/>
    <protectedRange sqref="M113:M120" name="Plage3"/>
    <protectedRange sqref="P111" name="Plage4"/>
  </protectedRanges>
  <mergeCells count="215">
    <mergeCell ref="P403:T403"/>
    <mergeCell ref="P396:T402"/>
    <mergeCell ref="P390:T390"/>
    <mergeCell ref="P395:T395"/>
    <mergeCell ref="P368:T368"/>
    <mergeCell ref="P379:T379"/>
    <mergeCell ref="P346:T356"/>
    <mergeCell ref="P362:T362"/>
    <mergeCell ref="I418:J418"/>
    <mergeCell ref="I407:K407"/>
    <mergeCell ref="P409:T417"/>
    <mergeCell ref="I403:J403"/>
    <mergeCell ref="P385:T389"/>
    <mergeCell ref="M394:N394"/>
    <mergeCell ref="I379:J379"/>
    <mergeCell ref="I390:J390"/>
    <mergeCell ref="I394:K394"/>
    <mergeCell ref="I383:K383"/>
    <mergeCell ref="O476:S476"/>
    <mergeCell ref="O495:S495"/>
    <mergeCell ref="O528:S528"/>
    <mergeCell ref="O546:S546"/>
    <mergeCell ref="P408:T408"/>
    <mergeCell ref="P418:T418"/>
    <mergeCell ref="P32:T35"/>
    <mergeCell ref="U213:U214"/>
    <mergeCell ref="C166:D166"/>
    <mergeCell ref="C167:D167"/>
    <mergeCell ref="C103:L103"/>
    <mergeCell ref="C54:K54"/>
    <mergeCell ref="I42:K42"/>
    <mergeCell ref="D243:F243"/>
    <mergeCell ref="N250:O250"/>
    <mergeCell ref="P121:T121"/>
    <mergeCell ref="P243:S243"/>
    <mergeCell ref="D226:F226"/>
    <mergeCell ref="P226:S226"/>
    <mergeCell ref="N221:O221"/>
    <mergeCell ref="I226:L226"/>
    <mergeCell ref="U226:U227"/>
    <mergeCell ref="U243:U244"/>
    <mergeCell ref="N243:N244"/>
    <mergeCell ref="O243:O244"/>
    <mergeCell ref="C164:D164"/>
    <mergeCell ref="C165:D165"/>
    <mergeCell ref="D276:E276"/>
    <mergeCell ref="I276:K276"/>
    <mergeCell ref="N256:N257"/>
    <mergeCell ref="O256:O257"/>
    <mergeCell ref="U256:U257"/>
    <mergeCell ref="N276:N277"/>
    <mergeCell ref="O276:O277"/>
    <mergeCell ref="U276:U277"/>
    <mergeCell ref="P276:S276"/>
    <mergeCell ref="P277:P284"/>
    <mergeCell ref="G276:G277"/>
    <mergeCell ref="F276:F277"/>
    <mergeCell ref="I425:K425"/>
    <mergeCell ref="I361:K361"/>
    <mergeCell ref="P17:T23"/>
    <mergeCell ref="C226:C227"/>
    <mergeCell ref="G226:G227"/>
    <mergeCell ref="N226:N227"/>
    <mergeCell ref="O226:O227"/>
    <mergeCell ref="C243:C244"/>
    <mergeCell ref="G243:G244"/>
    <mergeCell ref="G256:G257"/>
    <mergeCell ref="C213:C214"/>
    <mergeCell ref="G213:G214"/>
    <mergeCell ref="N213:N214"/>
    <mergeCell ref="O213:O214"/>
    <mergeCell ref="P111:T120"/>
    <mergeCell ref="P139:T143"/>
    <mergeCell ref="P127:T132"/>
    <mergeCell ref="P150:T155"/>
    <mergeCell ref="E133:F133"/>
    <mergeCell ref="C163:D163"/>
    <mergeCell ref="C57:D57"/>
    <mergeCell ref="C58:D58"/>
    <mergeCell ref="C59:D59"/>
    <mergeCell ref="C60:D60"/>
    <mergeCell ref="I614:K614"/>
    <mergeCell ref="C562:K562"/>
    <mergeCell ref="I723:J723"/>
    <mergeCell ref="C641:K641"/>
    <mergeCell ref="I786:J786"/>
    <mergeCell ref="M786:O786"/>
    <mergeCell ref="I162:K162"/>
    <mergeCell ref="I290:K290"/>
    <mergeCell ref="I296:K296"/>
    <mergeCell ref="I243:L243"/>
    <mergeCell ref="I213:L213"/>
    <mergeCell ref="M614:N614"/>
    <mergeCell ref="N238:O238"/>
    <mergeCell ref="N284:O284"/>
    <mergeCell ref="I357:J357"/>
    <mergeCell ref="M296:O296"/>
    <mergeCell ref="M290:O290"/>
    <mergeCell ref="C288:K288"/>
    <mergeCell ref="C610:L610"/>
    <mergeCell ref="I372:K372"/>
    <mergeCell ref="D256:F256"/>
    <mergeCell ref="M425:O425"/>
    <mergeCell ref="C423:K423"/>
    <mergeCell ref="C471:L471"/>
    <mergeCell ref="P736:T736"/>
    <mergeCell ref="C782:L782"/>
    <mergeCell ref="P616:T626"/>
    <mergeCell ref="C740:K740"/>
    <mergeCell ref="M643:O643"/>
    <mergeCell ref="M691:N691"/>
    <mergeCell ref="M727:N727"/>
    <mergeCell ref="I710:K710"/>
    <mergeCell ref="I727:K727"/>
    <mergeCell ref="P723:T723"/>
    <mergeCell ref="P712:T722"/>
    <mergeCell ref="P711:T711"/>
    <mergeCell ref="P693:T705"/>
    <mergeCell ref="P706:T706"/>
    <mergeCell ref="P627:T627"/>
    <mergeCell ref="P728:T728"/>
    <mergeCell ref="P729:T735"/>
    <mergeCell ref="I736:J736"/>
    <mergeCell ref="I627:J627"/>
    <mergeCell ref="I706:J706"/>
    <mergeCell ref="C687:L687"/>
    <mergeCell ref="I691:K691"/>
    <mergeCell ref="I643:K643"/>
    <mergeCell ref="I634:K634"/>
    <mergeCell ref="V277:V284"/>
    <mergeCell ref="V276:Y276"/>
    <mergeCell ref="V256:Y256"/>
    <mergeCell ref="P345:T345"/>
    <mergeCell ref="P357:T357"/>
    <mergeCell ref="M372:N372"/>
    <mergeCell ref="P363:T367"/>
    <mergeCell ref="I344:K344"/>
    <mergeCell ref="M344:N344"/>
    <mergeCell ref="C340:L340"/>
    <mergeCell ref="I256:L256"/>
    <mergeCell ref="N271:O271"/>
    <mergeCell ref="M361:N361"/>
    <mergeCell ref="I368:J368"/>
    <mergeCell ref="K110:K112"/>
    <mergeCell ref="AA213:AE213"/>
    <mergeCell ref="P256:S256"/>
    <mergeCell ref="P692:T692"/>
    <mergeCell ref="M710:N710"/>
    <mergeCell ref="P373:T373"/>
    <mergeCell ref="P374:T378"/>
    <mergeCell ref="M383:N383"/>
    <mergeCell ref="V226:Y226"/>
    <mergeCell ref="AA277:AE283"/>
    <mergeCell ref="AA276:AE276"/>
    <mergeCell ref="AA214:AE220"/>
    <mergeCell ref="AA284:AE284"/>
    <mergeCell ref="AA238:AE238"/>
    <mergeCell ref="AA244:AE249"/>
    <mergeCell ref="V243:Y243"/>
    <mergeCell ref="AA221:AE221"/>
    <mergeCell ref="AA243:AE243"/>
    <mergeCell ref="AA226:AE226"/>
    <mergeCell ref="AA227:AE237"/>
    <mergeCell ref="AA271:AE271"/>
    <mergeCell ref="AA250:AE250"/>
    <mergeCell ref="AA257:AE270"/>
    <mergeCell ref="AA256:AE256"/>
    <mergeCell ref="V213:Y213"/>
    <mergeCell ref="C3:L3"/>
    <mergeCell ref="C4:L4"/>
    <mergeCell ref="C9:L9"/>
    <mergeCell ref="I24:J24"/>
    <mergeCell ref="P36:T36"/>
    <mergeCell ref="P16:T16"/>
    <mergeCell ref="P31:T31"/>
    <mergeCell ref="P24:T24"/>
    <mergeCell ref="P110:T110"/>
    <mergeCell ref="P213:S213"/>
    <mergeCell ref="M162:O162"/>
    <mergeCell ref="P126:T126"/>
    <mergeCell ref="P149:T149"/>
    <mergeCell ref="P43:T43"/>
    <mergeCell ref="P133:T133"/>
    <mergeCell ref="M56:O56"/>
    <mergeCell ref="P144:T144"/>
    <mergeCell ref="P50:T50"/>
    <mergeCell ref="P138:T138"/>
    <mergeCell ref="P156:T156"/>
    <mergeCell ref="P44:T49"/>
    <mergeCell ref="I30:K30"/>
    <mergeCell ref="I50:J50"/>
    <mergeCell ref="M634:N634"/>
    <mergeCell ref="P635:T635"/>
    <mergeCell ref="P636:T636"/>
    <mergeCell ref="P615:T615"/>
    <mergeCell ref="M407:N407"/>
    <mergeCell ref="J5:L5"/>
    <mergeCell ref="C110:C112"/>
    <mergeCell ref="D110:D112"/>
    <mergeCell ref="E110:E112"/>
    <mergeCell ref="G110:G112"/>
    <mergeCell ref="N110:N112"/>
    <mergeCell ref="M110:M112"/>
    <mergeCell ref="J110:J112"/>
    <mergeCell ref="I110:I112"/>
    <mergeCell ref="I36:J36"/>
    <mergeCell ref="E56:G56"/>
    <mergeCell ref="C160:K160"/>
    <mergeCell ref="C208:L208"/>
    <mergeCell ref="D213:F213"/>
    <mergeCell ref="E162:G162"/>
    <mergeCell ref="I121:J121"/>
    <mergeCell ref="I133:J133"/>
    <mergeCell ref="I144:J144"/>
    <mergeCell ref="I56:K56"/>
  </mergeCells>
  <phoneticPr fontId="0"/>
  <conditionalFormatting sqref="H542:H544">
    <cfRule type="cellIs" dxfId="4" priority="2" stopIfTrue="1" operator="equal">
      <formula>"! Remplir une incertitude !"</formula>
    </cfRule>
  </conditionalFormatting>
  <conditionalFormatting sqref="I24:I26 I36:I38 I50:I52 I121:I124 I133:I135 I144 J145:J147 I156 N221:N223 N238:N239 N250:N251 N271:N273 N284 I357:I359 I368 I379 I390 I403 I418 H490 H523:H526 H557 I558:I560 I627:I632 I706 I723 I736">
    <cfRule type="cellIs" dxfId="3" priority="6" stopIfTrue="1" operator="equal">
      <formula>"! Remplir une incertitude !"</formula>
    </cfRule>
  </conditionalFormatting>
  <conditionalFormatting sqref="J18:J23">
    <cfRule type="cellIs" dxfId="2" priority="7" stopIfTrue="1" operator="equal">
      <formula>"""! Vous devez définir une incertitude !"""</formula>
    </cfRule>
  </conditionalFormatting>
  <conditionalFormatting sqref="O542:O544">
    <cfRule type="cellIs" dxfId="1" priority="1" stopIfTrue="1" operator="equal">
      <formula>"Attention: vous devez planifier une action afin de remplir votre objectif"</formula>
    </cfRule>
  </conditionalFormatting>
  <conditionalFormatting sqref="P24:P26 P36:P38 P50:P52 P121 P133:P135 P144 P156 AA221 AA238 AA250 AA271 AA284 P357:P359 P368 P379 P390 P403 P418 O490 O523:O526 O557 P558:P560 P627:P632 P706 P723 P736">
    <cfRule type="cellIs" dxfId="0" priority="5" stopIfTrue="1" operator="equal">
      <formula>"Attention: vous devez planifier une action afin de remplir votre objectif"</formula>
    </cfRule>
  </conditionalFormatting>
  <hyperlinks>
    <hyperlink ref="I5" location="IMMOBILISATIONS" display="IMMOBILISATIONS" xr:uid="{00000000-0004-0000-0200-000000000000}"/>
    <hyperlink ref="H5" location="DECHETS_DIRECTS" display="DECHETS DIRECTS" xr:uid="{00000000-0004-0000-0200-000001000000}"/>
    <hyperlink ref="G5" location="RESTAURANT_UNIVERSITAIRE" display="RESTAURANT UNIVERSITAIRE" xr:uid="{00000000-0004-0000-0200-000002000000}"/>
    <hyperlink ref="F5" location="CONSOMMABLES_ET_MATERIAUX" display="CONSOMMABLES ET MATERIAUX" xr:uid="{00000000-0004-0000-0200-000003000000}"/>
    <hyperlink ref="C5" location="SOURCES_FIXES" display="SOURCES FIXES" xr:uid="{00000000-0004-0000-0200-000004000000}"/>
    <hyperlink ref="D5" location="FRET" display="FRET" xr:uid="{00000000-0004-0000-0200-000005000000}"/>
    <hyperlink ref="E5" location="DEPLACEMENT_PERSONNES" display="DEPLACEMENTS DE PERSONNES" xr:uid="{00000000-0004-0000-0200-000006000000}"/>
    <hyperlink ref="J5" location="TOTAL" display="TOTAL" xr:uid="{00000000-0004-0000-0200-000007000000}"/>
  </hyperlinks>
  <printOptions horizontalCentered="1" verticalCentered="1"/>
  <pageMargins left="0.5" right="0.34" top="0.4" bottom="0.45" header="0.28999999999999998" footer="0.32"/>
  <pageSetup paperSize="9" scale="30" fitToHeight="6" orientation="landscape" horizontalDpi="4294967292" verticalDpi="4294967292" r:id="rId1"/>
  <headerFooter alignWithMargins="0">
    <oddHeader>&amp;CRéalisé dans le cadre de la démarche Bilan Carbone™ Campus</oddHeader>
  </headerFooter>
  <rowBreaks count="6" manualBreakCount="6">
    <brk id="100" min="1" max="32" man="1"/>
    <brk id="205" min="1" max="32" man="1"/>
    <brk id="337" min="1" max="32" man="1"/>
    <brk id="468" min="1" max="32" man="1"/>
    <brk id="607" min="1" max="32" man="1"/>
    <brk id="684" min="1" max="32" man="1"/>
  </rowBreaks>
  <ignoredErrors>
    <ignoredError sqref="O795 O433 O302" formula="1"/>
  </ignoredErrors>
  <drawing r:id="rId2"/>
  <legacyDrawing r:id="rId3"/>
  <extLst>
    <ext xmlns:x14="http://schemas.microsoft.com/office/spreadsheetml/2009/9/main" uri="{CCE6A557-97BC-4b89-ADB6-D9C93CAAB3DF}">
      <x14:dataValidations xmlns:xm="http://schemas.microsoft.com/office/excel/2006/main" count="27">
        <x14:dataValidation type="list" allowBlank="1" showInputMessage="1" showErrorMessage="1" xr:uid="{EE1C77AC-871D-4D21-B132-57AB72E9153B}">
          <x14:formula1>
            <xm:f>'Facteurs d''émission'!$D$210:$D$214</xm:f>
          </x14:formula1>
          <xm:sqref>C636</xm:sqref>
        </x14:dataValidation>
        <x14:dataValidation type="list" allowBlank="1" showInputMessage="1" showErrorMessage="1" xr:uid="{3A7AFF88-7726-4C19-A6FD-10713634A3BC}">
          <x14:formula1>
            <xm:f>'Facteurs d''émission'!$D$2:$D$10</xm:f>
          </x14:formula1>
          <xm:sqref>C17:C23</xm:sqref>
        </x14:dataValidation>
        <x14:dataValidation type="list" allowBlank="1" showInputMessage="1" showErrorMessage="1" xr:uid="{0003AA93-6A3C-4C58-98BF-6F25F83212D0}">
          <x14:formula1>
            <xm:f>'Facteurs d''émission'!$D$11:$D$16</xm:f>
          </x14:formula1>
          <xm:sqref>C32:C35</xm:sqref>
        </x14:dataValidation>
        <x14:dataValidation type="list" allowBlank="1" showInputMessage="1" showErrorMessage="1" xr:uid="{C9D9CECD-A4F8-4F08-AA81-D4B983365FCF}">
          <x14:formula1>
            <xm:f>'Facteurs d''émission'!$D$30:$D$39</xm:f>
          </x14:formula1>
          <xm:sqref>C113:C120</xm:sqref>
        </x14:dataValidation>
        <x14:dataValidation type="list" allowBlank="1" showInputMessage="1" showErrorMessage="1" xr:uid="{48A93226-F1AE-4885-AC5D-E51A919AE2EB}">
          <x14:formula1>
            <xm:f>'Facteurs d''émission'!$D$40:$D$47</xm:f>
          </x14:formula1>
          <xm:sqref>C127:C132</xm:sqref>
        </x14:dataValidation>
        <x14:dataValidation type="list" allowBlank="1" showInputMessage="1" showErrorMessage="1" xr:uid="{815092E9-FF59-4117-8A42-6C3BB6EDF4D1}">
          <x14:formula1>
            <xm:f>'Facteurs d''émission'!$D$48:$D$54</xm:f>
          </x14:formula1>
          <xm:sqref>C139:C143</xm:sqref>
        </x14:dataValidation>
        <x14:dataValidation type="list" allowBlank="1" showInputMessage="1" showErrorMessage="1" xr:uid="{AA1B59F7-765B-46B0-9CBA-5D8A9C91B0C2}">
          <x14:formula1>
            <xm:f>'Facteurs d''émission'!$D$55:$D$61</xm:f>
          </x14:formula1>
          <xm:sqref>C150:C155</xm:sqref>
        </x14:dataValidation>
        <x14:dataValidation type="list" allowBlank="1" showInputMessage="1" showErrorMessage="1" xr:uid="{4D9E6185-9F8C-45B2-8556-0940DF046A68}">
          <x14:formula1>
            <xm:f>'Facteurs d''émission'!$D$62:$D$68</xm:f>
          </x14:formula1>
          <xm:sqref>C215:C220</xm:sqref>
        </x14:dataValidation>
        <x14:dataValidation type="list" allowBlank="1" showInputMessage="1" showErrorMessage="1" xr:uid="{788757FE-2155-41BA-9DE1-8BD74D18B293}">
          <x14:formula1>
            <xm:f>'Facteurs d''émission'!$D$69:$D$79</xm:f>
          </x14:formula1>
          <xm:sqref>C228:C237</xm:sqref>
        </x14:dataValidation>
        <x14:dataValidation type="list" allowBlank="1" showInputMessage="1" showErrorMessage="1" xr:uid="{BCD78599-97E5-45B8-B52F-2093C4F5BD70}">
          <x14:formula1>
            <xm:f>'Facteurs d''émission'!$D$80:$D$86</xm:f>
          </x14:formula1>
          <xm:sqref>C245:C249</xm:sqref>
        </x14:dataValidation>
        <x14:dataValidation type="list" allowBlank="1" showInputMessage="1" showErrorMessage="1" xr:uid="{5E8F9860-F63F-4C2B-9AB8-BA53F9304D68}">
          <x14:formula1>
            <xm:f>'Facteurs d''émission'!$D$87:$D$101</xm:f>
          </x14:formula1>
          <xm:sqref>C258:C270</xm:sqref>
        </x14:dataValidation>
        <x14:dataValidation type="list" allowBlank="1" showInputMessage="1" showErrorMessage="1" xr:uid="{EE3BAB7E-0D7F-4F27-8912-2E1353CD5096}">
          <x14:formula1>
            <xm:f>'Facteurs d''émission'!$D$102:$D$108</xm:f>
          </x14:formula1>
          <xm:sqref>C278:C283</xm:sqref>
        </x14:dataValidation>
        <x14:dataValidation type="list" allowBlank="1" showInputMessage="1" showErrorMessage="1" xr:uid="{AB8507D5-66B5-4AAA-A18E-5F75C36FB170}">
          <x14:formula1>
            <xm:f>'Facteurs d''émission'!$D$109:$D$121</xm:f>
          </x14:formula1>
          <xm:sqref>C346:C356</xm:sqref>
        </x14:dataValidation>
        <x14:dataValidation type="list" allowBlank="1" showInputMessage="1" showErrorMessage="1" xr:uid="{9CCCD2B7-CD8B-4889-9DCE-4DE5C35677A5}">
          <x14:formula1>
            <xm:f>'Facteurs d''émission'!$D$122:$D$127</xm:f>
          </x14:formula1>
          <xm:sqref>C363:C367</xm:sqref>
        </x14:dataValidation>
        <x14:dataValidation type="list" allowBlank="1" showInputMessage="1" showErrorMessage="1" xr:uid="{F17CCCB1-ED2B-439F-BD6F-D5B6CFADA4FB}">
          <x14:formula1>
            <xm:f>'Facteurs d''émission'!$D$134:$D$140</xm:f>
          </x14:formula1>
          <xm:sqref>C385:C389</xm:sqref>
        </x14:dataValidation>
        <x14:dataValidation type="list" allowBlank="1" showInputMessage="1" showErrorMessage="1" xr:uid="{D87CB6DE-640E-4D02-995C-E5AF832F346C}">
          <x14:formula1>
            <xm:f>'Facteurs d''émission'!$D$141:$D$149</xm:f>
          </x14:formula1>
          <xm:sqref>C396:C402</xm:sqref>
        </x14:dataValidation>
        <x14:dataValidation type="list" allowBlank="1" showInputMessage="1" showErrorMessage="1" xr:uid="{0564A2BC-FD4C-408B-881A-F3A8AC6F55F4}">
          <x14:formula1>
            <xm:f>'Facteurs d''émission'!$D$150:$D$161</xm:f>
          </x14:formula1>
          <xm:sqref>C409:C417</xm:sqref>
        </x14:dataValidation>
        <x14:dataValidation type="list" allowBlank="1" showInputMessage="1" showErrorMessage="1" xr:uid="{0A972FB7-5656-499A-9EEF-777950476BD5}">
          <x14:formula1>
            <xm:f>'Facteurs d''émission'!$D$162:$D$173</xm:f>
          </x14:formula1>
          <xm:sqref>C477:C489</xm:sqref>
        </x14:dataValidation>
        <x14:dataValidation type="list" allowBlank="1" showInputMessage="1" showErrorMessage="1" xr:uid="{F8D5798B-93DA-4445-BE28-DBB2CB4D787F}">
          <x14:formula1>
            <xm:f>'Facteurs d''émission'!$D$190:$D$200</xm:f>
          </x14:formula1>
          <xm:sqref>C529:C541</xm:sqref>
        </x14:dataValidation>
        <x14:dataValidation type="list" allowBlank="1" showInputMessage="1" showErrorMessage="1" xr:uid="{920F5830-1A36-4B08-B982-178D65A2E245}">
          <x14:formula1>
            <xm:f>'Facteurs d''émission'!$D$201:$D$209</xm:f>
          </x14:formula1>
          <xm:sqref>C547:C556</xm:sqref>
        </x14:dataValidation>
        <x14:dataValidation type="list" allowBlank="1" showInputMessage="1" showErrorMessage="1" xr:uid="{7A1FECB1-C16A-4D3E-A27A-61A2D08BC803}">
          <x14:formula1>
            <xm:f>'Facteurs d''émission'!$D$210:$D$218</xm:f>
          </x14:formula1>
          <xm:sqref>C616:C626</xm:sqref>
        </x14:dataValidation>
        <x14:dataValidation type="list" allowBlank="1" showInputMessage="1" showErrorMessage="1" xr:uid="{9B3DA766-38D7-4BB1-9AB6-3785D5523D68}">
          <x14:formula1>
            <xm:f>'Facteurs d''émission'!$D$243:$D$249</xm:f>
          </x14:formula1>
          <xm:sqref>C729:C735</xm:sqref>
        </x14:dataValidation>
        <x14:dataValidation type="list" allowBlank="1" showInputMessage="1" showErrorMessage="1" xr:uid="{8B117E94-7779-4532-BAAB-FA60A8CFF7D6}">
          <x14:formula1>
            <xm:f>'Facteurs d''émission'!$D$219:$D$231</xm:f>
          </x14:formula1>
          <xm:sqref>C693:C705</xm:sqref>
        </x14:dataValidation>
        <x14:dataValidation type="list" allowBlank="1" showInputMessage="1" showErrorMessage="1" xr:uid="{4BB26691-0ECF-4A22-A289-0AEE7BFD6C94}">
          <x14:formula1>
            <xm:f>'Facteurs d''émission'!$D$232:$D$242</xm:f>
          </x14:formula1>
          <xm:sqref>C712:C722</xm:sqref>
        </x14:dataValidation>
        <x14:dataValidation type="list" allowBlank="1" showInputMessage="1" showErrorMessage="1" xr:uid="{20B862FA-20B4-4D12-8DEF-BC3231736185}">
          <x14:formula1>
            <xm:f>'Facteurs d''émission'!$D$174:$D$189</xm:f>
          </x14:formula1>
          <xm:sqref>C496:C522</xm:sqref>
        </x14:dataValidation>
        <x14:dataValidation type="list" allowBlank="1" showInputMessage="1" showErrorMessage="1" xr:uid="{B21FE862-59E4-4CE6-9B94-C9F8CBF370B0}">
          <x14:formula1>
            <xm:f>'Facteurs d''émission'!$D$128:$D$133</xm:f>
          </x14:formula1>
          <xm:sqref>C374:C378</xm:sqref>
        </x14:dataValidation>
        <x14:dataValidation type="list" allowBlank="1" showInputMessage="1" showErrorMessage="1" xr:uid="{76B4D004-3ADC-4D62-B4A6-4EC236855B06}">
          <x14:formula1>
            <xm:f>'Facteurs d''émission'!$D$17:$D$29</xm:f>
          </x14:formula1>
          <xm:sqref>C44:C49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C66"/>
  </sheetPr>
  <dimension ref="B1:O43"/>
  <sheetViews>
    <sheetView showGridLines="0" tabSelected="1" topLeftCell="D1" zoomScale="145" zoomScaleNormal="100" workbookViewId="0">
      <selection activeCell="P8" sqref="P8"/>
    </sheetView>
  </sheetViews>
  <sheetFormatPr baseColWidth="10" defaultColWidth="11.375" defaultRowHeight="11.4"/>
  <cols>
    <col min="1" max="1" width="11" style="7" customWidth="1"/>
    <col min="2" max="2" width="36.375" style="7" customWidth="1"/>
    <col min="3" max="3" width="14.125" style="11" bestFit="1" customWidth="1"/>
    <col min="4" max="4" width="14.125" style="11" customWidth="1"/>
    <col min="5" max="5" width="14.125" style="11" bestFit="1" customWidth="1"/>
    <col min="6" max="6" width="11.125" style="7" customWidth="1"/>
    <col min="7" max="7" width="29.375" style="7" bestFit="1" customWidth="1"/>
    <col min="8" max="9" width="12.875" style="7" customWidth="1"/>
    <col min="10" max="10" width="3.375" style="7" customWidth="1"/>
    <col min="11" max="11" width="11.375" style="7"/>
    <col min="12" max="12" width="12.125" style="7" bestFit="1" customWidth="1"/>
    <col min="13" max="16384" width="11.375" style="7"/>
  </cols>
  <sheetData>
    <row r="1" spans="2:15" ht="18.45" customHeight="1"/>
    <row r="2" spans="2:15" ht="22.8">
      <c r="B2" s="579" t="s">
        <v>108</v>
      </c>
      <c r="C2" s="579"/>
      <c r="D2" s="579"/>
      <c r="E2" s="579"/>
      <c r="F2" s="579"/>
      <c r="G2" s="579"/>
      <c r="H2" s="579"/>
      <c r="I2" s="579"/>
      <c r="J2" s="579"/>
      <c r="K2" s="579"/>
      <c r="L2" s="579"/>
      <c r="M2" s="579"/>
      <c r="N2" s="579"/>
      <c r="O2" s="11"/>
    </row>
    <row r="3" spans="2:15" ht="22.8">
      <c r="G3" s="16"/>
    </row>
    <row r="4" spans="2:15" ht="12">
      <c r="C4" s="130" t="s">
        <v>364</v>
      </c>
      <c r="D4" s="130" t="s">
        <v>365</v>
      </c>
      <c r="E4" s="130" t="s">
        <v>366</v>
      </c>
    </row>
    <row r="5" spans="2:15" ht="12" thickBot="1">
      <c r="C5" s="131" t="s">
        <v>304</v>
      </c>
      <c r="D5" s="131" t="s">
        <v>304</v>
      </c>
      <c r="E5" s="131" t="s">
        <v>304</v>
      </c>
      <c r="H5"/>
      <c r="I5"/>
      <c r="J5"/>
      <c r="K5"/>
      <c r="L5"/>
    </row>
    <row r="6" spans="2:15" ht="12.6" thickBot="1">
      <c r="B6" s="365" t="s">
        <v>54</v>
      </c>
      <c r="C6" s="366">
        <f>SUM(C7:C9)</f>
        <v>1253.9631899999999</v>
      </c>
      <c r="D6" s="463"/>
      <c r="E6" s="367">
        <f>SUM(E7:E9)</f>
        <v>0</v>
      </c>
      <c r="F6" s="11"/>
      <c r="G6" s="12" t="s">
        <v>362</v>
      </c>
      <c r="H6"/>
      <c r="I6"/>
      <c r="J6"/>
      <c r="K6" s="484" t="s">
        <v>363</v>
      </c>
      <c r="L6"/>
    </row>
    <row r="7" spans="2:15" ht="12">
      <c r="B7" s="368" t="str">
        <f>'Campus site 1'!C58</f>
        <v>Combustibles fossiles</v>
      </c>
      <c r="C7" s="369">
        <f>'Campus site 1'!$E58/1000</f>
        <v>829.48800000000006</v>
      </c>
      <c r="D7" s="464"/>
      <c r="E7" s="370"/>
      <c r="F7" s="11"/>
      <c r="G7" s="461" t="s">
        <v>87</v>
      </c>
      <c r="H7" s="228" t="s">
        <v>304</v>
      </c>
      <c r="I7" s="462" t="s">
        <v>67</v>
      </c>
      <c r="K7" s="228" t="s">
        <v>304</v>
      </c>
      <c r="L7" s="462" t="s">
        <v>67</v>
      </c>
    </row>
    <row r="8" spans="2:15">
      <c r="B8" s="368" t="str">
        <f>'Campus site 1'!C59</f>
        <v>Electricité</v>
      </c>
      <c r="C8" s="369">
        <f>'Campus site 1'!$E59/1000</f>
        <v>119.37519000000002</v>
      </c>
      <c r="D8" s="464"/>
      <c r="E8" s="370"/>
      <c r="F8" s="11"/>
      <c r="G8" s="429" t="s">
        <v>8</v>
      </c>
      <c r="H8" s="430">
        <f>SUM(C6:E6)</f>
        <v>1253.9631899999999</v>
      </c>
      <c r="I8" s="431">
        <f>IF($H$15=0,"",H8/$H$15)</f>
        <v>0.4702501207675448</v>
      </c>
      <c r="K8" s="432"/>
      <c r="L8" s="431">
        <f>IFERROR(K8/H8,"")</f>
        <v>0</v>
      </c>
    </row>
    <row r="9" spans="2:15" ht="12" thickBot="1">
      <c r="B9" s="371" t="str">
        <f>'Campus site 1'!C60</f>
        <v>Fuites de fluides frigorigènes</v>
      </c>
      <c r="C9" s="372">
        <f>'Campus site 1'!$E60/1000</f>
        <v>305.10000000000002</v>
      </c>
      <c r="D9" s="465"/>
      <c r="E9" s="373"/>
      <c r="F9" s="11"/>
      <c r="G9" s="433" t="s">
        <v>62</v>
      </c>
      <c r="H9" s="434">
        <f>SUM(C11:E11)</f>
        <v>32.752000000000002</v>
      </c>
      <c r="I9" s="435">
        <f t="shared" ref="I9:I14" si="0">IF($H$15=0,"",H9/$H$15)</f>
        <v>1.2282363691535977E-2</v>
      </c>
      <c r="K9" s="436"/>
      <c r="L9" s="435">
        <f t="shared" ref="L9:L14" si="1">IFERROR(K9/H9,"")</f>
        <v>0</v>
      </c>
    </row>
    <row r="10" spans="2:15" ht="12" thickBot="1">
      <c r="G10" s="437" t="s">
        <v>175</v>
      </c>
      <c r="H10" s="438">
        <f>SUM(C17:E17)</f>
        <v>490.43616000000003</v>
      </c>
      <c r="I10" s="439">
        <f t="shared" si="0"/>
        <v>0.18391900600269689</v>
      </c>
      <c r="K10" s="440"/>
      <c r="L10" s="439">
        <f t="shared" si="1"/>
        <v>0</v>
      </c>
    </row>
    <row r="11" spans="2:15" ht="12" customHeight="1">
      <c r="B11" s="374" t="str">
        <f>'Campus site 1'!C103</f>
        <v>FRET</v>
      </c>
      <c r="C11" s="375">
        <f>SUM(C12:C15)</f>
        <v>32.752000000000002</v>
      </c>
      <c r="D11" s="466"/>
      <c r="E11" s="376">
        <f>SUM(E12:E15)</f>
        <v>0</v>
      </c>
      <c r="F11" s="11"/>
      <c r="G11" s="441" t="s">
        <v>84</v>
      </c>
      <c r="H11" s="442">
        <f>SUM(C23:E23)</f>
        <v>28.703465999999999</v>
      </c>
      <c r="I11" s="443">
        <f t="shared" si="0"/>
        <v>1.0764118484966945E-2</v>
      </c>
      <c r="K11" s="444"/>
      <c r="L11" s="443">
        <f t="shared" si="1"/>
        <v>0</v>
      </c>
    </row>
    <row r="12" spans="2:15">
      <c r="B12" s="377" t="str">
        <f>'Campus site 1'!C164</f>
        <v>Fret routier</v>
      </c>
      <c r="C12" s="378">
        <f>'Campus site 1'!$F164</f>
        <v>32.752000000000002</v>
      </c>
      <c r="D12" s="467"/>
      <c r="E12" s="379"/>
      <c r="F12" s="11"/>
      <c r="G12" s="447" t="s">
        <v>176</v>
      </c>
      <c r="H12" s="448">
        <f>SUM(C31:E31)</f>
        <v>457.16399999999999</v>
      </c>
      <c r="I12" s="446">
        <f t="shared" si="0"/>
        <v>0.17144157653509259</v>
      </c>
      <c r="K12" s="445"/>
      <c r="L12" s="446">
        <f t="shared" si="1"/>
        <v>0</v>
      </c>
    </row>
    <row r="13" spans="2:15">
      <c r="B13" s="377" t="str">
        <f>'Campus site 1'!C165</f>
        <v>Fret aérien</v>
      </c>
      <c r="C13" s="378">
        <f>'Campus site 1'!$F165</f>
        <v>0</v>
      </c>
      <c r="D13" s="467"/>
      <c r="E13" s="379"/>
      <c r="F13" s="11"/>
      <c r="G13" s="449" t="s">
        <v>177</v>
      </c>
      <c r="H13" s="450">
        <f>SUM(C36:E36)</f>
        <v>7.2231550000000002</v>
      </c>
      <c r="I13" s="451">
        <f t="shared" si="0"/>
        <v>2.7087633338524837E-3</v>
      </c>
      <c r="K13" s="452"/>
      <c r="L13" s="451">
        <f t="shared" si="1"/>
        <v>0</v>
      </c>
    </row>
    <row r="14" spans="2:15">
      <c r="B14" s="377" t="str">
        <f>'Campus site 1'!C166</f>
        <v>Fret ferroviaire</v>
      </c>
      <c r="C14" s="378">
        <f>'Campus site 1'!$F166</f>
        <v>0</v>
      </c>
      <c r="D14" s="467"/>
      <c r="E14" s="379"/>
      <c r="F14" s="11"/>
      <c r="G14" s="453" t="s">
        <v>9</v>
      </c>
      <c r="H14" s="454">
        <f>SUM(C40:E40)</f>
        <v>396.34573333333333</v>
      </c>
      <c r="I14" s="455">
        <f t="shared" si="0"/>
        <v>0.14863405118431039</v>
      </c>
      <c r="K14" s="456"/>
      <c r="L14" s="455">
        <f t="shared" si="1"/>
        <v>0</v>
      </c>
    </row>
    <row r="15" spans="2:15" ht="13.8" thickBot="1">
      <c r="B15" s="380" t="str">
        <f>'Campus site 1'!C167</f>
        <v>Fret maritime</v>
      </c>
      <c r="C15" s="381">
        <f>'Campus site 1'!$F167</f>
        <v>0</v>
      </c>
      <c r="D15" s="468"/>
      <c r="E15" s="382"/>
      <c r="F15" s="11"/>
      <c r="G15" s="457" t="s">
        <v>11</v>
      </c>
      <c r="H15" s="458">
        <f>SUM(H8:H14)</f>
        <v>2666.587704333333</v>
      </c>
      <c r="I15" s="459">
        <f>SUM(I8:I14)</f>
        <v>1</v>
      </c>
      <c r="K15" s="460">
        <f>SUM(K8:K14)</f>
        <v>0</v>
      </c>
      <c r="L15" s="459">
        <f>IF(H15=0,"",K15/H15)</f>
        <v>0</v>
      </c>
    </row>
    <row r="16" spans="2:15" ht="12" thickBot="1"/>
    <row r="17" spans="2:7" ht="12">
      <c r="B17" s="383" t="str">
        <f>'Campus site 1'!C208</f>
        <v>DEPLACEMENTS DE PERSONNES</v>
      </c>
      <c r="C17" s="384">
        <f>SUM(C18:C21)</f>
        <v>490.43616000000003</v>
      </c>
      <c r="D17" s="469"/>
      <c r="E17" s="385">
        <f>SUM(E18:E21)</f>
        <v>0</v>
      </c>
      <c r="F17" s="11"/>
    </row>
    <row r="18" spans="2:7">
      <c r="B18" s="386" t="str">
        <f>'Campus site 1'!C298</f>
        <v>Voiture</v>
      </c>
      <c r="C18" s="387">
        <f>'Campus site 1'!$D298/1000</f>
        <v>129.34350000000001</v>
      </c>
      <c r="D18" s="470"/>
      <c r="E18" s="388"/>
      <c r="F18" s="11"/>
    </row>
    <row r="19" spans="2:7">
      <c r="B19" s="386" t="str">
        <f>'Campus site 1'!C299</f>
        <v>Autres modes routiers</v>
      </c>
      <c r="C19" s="387">
        <f>'Campus site 1'!$D299/1000</f>
        <v>16.2</v>
      </c>
      <c r="D19" s="470"/>
      <c r="E19" s="388"/>
      <c r="F19" s="11"/>
    </row>
    <row r="20" spans="2:7">
      <c r="B20" s="386" t="str">
        <f>'Campus site 1'!C300</f>
        <v>Train</v>
      </c>
      <c r="C20" s="387">
        <f>'Campus site 1'!$D300/1000</f>
        <v>15.93378</v>
      </c>
      <c r="D20" s="470"/>
      <c r="E20" s="388"/>
      <c r="F20" s="11"/>
    </row>
    <row r="21" spans="2:7" ht="12" thickBot="1">
      <c r="B21" s="389" t="str">
        <f>'Campus site 1'!C301</f>
        <v>Avion</v>
      </c>
      <c r="C21" s="390">
        <f>'Campus site 1'!$D301/1000</f>
        <v>328.95888000000002</v>
      </c>
      <c r="D21" s="471"/>
      <c r="E21" s="391"/>
      <c r="F21" s="11"/>
    </row>
    <row r="22" spans="2:7" ht="12" thickBot="1"/>
    <row r="23" spans="2:7" ht="12">
      <c r="B23" s="392" t="str">
        <f>'Campus site 1'!C340</f>
        <v>CONSOMMABLES ET MATERIAUX</v>
      </c>
      <c r="C23" s="393">
        <f>SUM(C24:C29)</f>
        <v>28.703465999999999</v>
      </c>
      <c r="D23" s="472"/>
      <c r="E23" s="394">
        <f>SUM(E24:E29)</f>
        <v>0</v>
      </c>
      <c r="F23" s="11"/>
    </row>
    <row r="24" spans="2:7">
      <c r="B24" s="395" t="str">
        <f>'Campus site 1'!C427</f>
        <v>Métaux</v>
      </c>
      <c r="C24" s="396">
        <f>'Campus site 1'!$E427</f>
        <v>4.1562379999999992</v>
      </c>
      <c r="D24" s="473"/>
      <c r="E24" s="397"/>
      <c r="F24" s="11"/>
    </row>
    <row r="25" spans="2:7">
      <c r="B25" s="395" t="str">
        <f>'Campus site 1'!C428</f>
        <v>Plastiques</v>
      </c>
      <c r="C25" s="396">
        <f>'Campus site 1'!$E428</f>
        <v>0</v>
      </c>
      <c r="D25" s="473"/>
      <c r="E25" s="397"/>
      <c r="F25" s="11"/>
      <c r="G25" s="11"/>
    </row>
    <row r="26" spans="2:7">
      <c r="B26" s="395" t="str">
        <f>'Campus site 1'!C429</f>
        <v>Verres</v>
      </c>
      <c r="C26" s="396">
        <f>'Campus site 1'!$E429</f>
        <v>0</v>
      </c>
      <c r="D26" s="473"/>
      <c r="E26" s="397"/>
      <c r="F26" s="11"/>
      <c r="G26" s="11"/>
    </row>
    <row r="27" spans="2:7">
      <c r="B27" s="395" t="str">
        <f>'Campus site 1'!C430</f>
        <v>Papiers et cartons</v>
      </c>
      <c r="C27" s="396">
        <f>'Campus site 1'!$E430</f>
        <v>18.361727999999999</v>
      </c>
      <c r="D27" s="473"/>
      <c r="E27" s="397"/>
      <c r="F27" s="11"/>
      <c r="G27" s="11"/>
    </row>
    <row r="28" spans="2:7">
      <c r="B28" s="395" t="str">
        <f>'Campus site 1'!C431</f>
        <v>Produits chimiques &amp; textiles de synthèse</v>
      </c>
      <c r="C28" s="396">
        <f>'Campus site 1'!$E431</f>
        <v>0</v>
      </c>
      <c r="D28" s="473"/>
      <c r="E28" s="397"/>
      <c r="F28" s="11"/>
      <c r="G28" s="11"/>
    </row>
    <row r="29" spans="2:7" ht="12" thickBot="1">
      <c r="B29" s="398" t="str">
        <f>'Campus site 1'!C432</f>
        <v>Autres (produits manufacturés ou services)</v>
      </c>
      <c r="C29" s="399">
        <f>'Campus site 1'!$E432</f>
        <v>6.1855000000000002</v>
      </c>
      <c r="D29" s="474"/>
      <c r="E29" s="400"/>
      <c r="F29" s="11"/>
      <c r="G29" s="11"/>
    </row>
    <row r="30" spans="2:7" ht="12" thickBot="1"/>
    <row r="31" spans="2:7" ht="12">
      <c r="B31" s="401" t="str">
        <f>'Campus site 1'!C471</f>
        <v>RESTAURANT UNIVERSITAIRE</v>
      </c>
      <c r="C31" s="402">
        <f>SUM(C32:C34)</f>
        <v>457.16399999999999</v>
      </c>
      <c r="D31" s="475"/>
      <c r="E31" s="403">
        <f>SUM(E32:E34)</f>
        <v>0</v>
      </c>
      <c r="F31" s="15"/>
      <c r="G31" s="15"/>
    </row>
    <row r="32" spans="2:7">
      <c r="B32" s="404" t="str">
        <f>'Campus site 1'!C566</f>
        <v>Viandes et poissons</v>
      </c>
      <c r="C32" s="405">
        <f>'Campus site 1'!$D566/1000</f>
        <v>0</v>
      </c>
      <c r="D32" s="476"/>
      <c r="E32" s="406"/>
      <c r="F32" s="11"/>
      <c r="G32" s="11"/>
    </row>
    <row r="33" spans="2:7">
      <c r="B33" s="407" t="str">
        <f>'Campus site 1'!C567</f>
        <v>Autres produits alimentaires</v>
      </c>
      <c r="C33" s="405">
        <f>'Campus site 1'!$D567/1000</f>
        <v>0</v>
      </c>
      <c r="D33" s="476"/>
      <c r="E33" s="406"/>
      <c r="F33" s="11"/>
      <c r="G33" s="11"/>
    </row>
    <row r="34" spans="2:7" ht="12" thickBot="1">
      <c r="B34" s="408" t="str">
        <f>'Campus site 1'!C568</f>
        <v>Repas</v>
      </c>
      <c r="C34" s="409">
        <f>'Campus site 1'!$D568/1000</f>
        <v>457.16399999999999</v>
      </c>
      <c r="D34" s="477"/>
      <c r="E34" s="410"/>
      <c r="F34" s="11"/>
      <c r="G34" s="11"/>
    </row>
    <row r="35" spans="2:7" ht="12" thickBot="1">
      <c r="B35" s="11"/>
      <c r="F35" s="11"/>
      <c r="G35" s="11"/>
    </row>
    <row r="36" spans="2:7" ht="12">
      <c r="B36" s="411" t="str">
        <f>'Campus site 1'!C610</f>
        <v>DECHETS DIRECTS</v>
      </c>
      <c r="C36" s="412">
        <f>SUM(C37:C38)</f>
        <v>7.2231550000000002</v>
      </c>
      <c r="D36" s="478"/>
      <c r="E36" s="413">
        <f>SUM(E37:E37)</f>
        <v>0</v>
      </c>
      <c r="F36" s="15"/>
      <c r="G36" s="15"/>
    </row>
    <row r="37" spans="2:7">
      <c r="B37" s="414" t="str">
        <f>'Campus site 1'!C645</f>
        <v>Déchets</v>
      </c>
      <c r="C37" s="415">
        <f>'Campus site 1'!$F645</f>
        <v>7.1389149999999999</v>
      </c>
      <c r="D37" s="479"/>
      <c r="E37" s="416"/>
      <c r="F37" s="11"/>
      <c r="G37" s="11"/>
    </row>
    <row r="38" spans="2:7">
      <c r="B38" s="490" t="s">
        <v>370</v>
      </c>
      <c r="C38" s="491">
        <f>'Campus site 1'!$F646</f>
        <v>8.4240000000000009E-2</v>
      </c>
      <c r="D38" s="491"/>
      <c r="E38" s="491"/>
      <c r="F38" s="11"/>
      <c r="G38" s="11"/>
    </row>
    <row r="39" spans="2:7" ht="12" thickBot="1"/>
    <row r="40" spans="2:7" ht="12">
      <c r="B40" s="417" t="str">
        <f>'Campus site 1'!C687</f>
        <v>IMMOBILISATIONS</v>
      </c>
      <c r="C40" s="418">
        <f>SUM(C41:C43)</f>
        <v>396.34573333333333</v>
      </c>
      <c r="D40" s="480"/>
      <c r="E40" s="419">
        <f>SUM(E41:E43)</f>
        <v>0</v>
      </c>
      <c r="F40" s="15"/>
      <c r="G40" s="15"/>
    </row>
    <row r="41" spans="2:7">
      <c r="B41" s="420" t="str">
        <f>'Campus site 1'!C744</f>
        <v>Bâtiments</v>
      </c>
      <c r="C41" s="421">
        <f>'Campus site 1'!$D744/1000</f>
        <v>300.91073333333333</v>
      </c>
      <c r="D41" s="481"/>
      <c r="E41" s="422"/>
      <c r="F41" s="11"/>
      <c r="G41" s="11"/>
    </row>
    <row r="42" spans="2:7">
      <c r="B42" s="423" t="str">
        <f>'Campus site 1'!C745</f>
        <v>Informatique</v>
      </c>
      <c r="C42" s="424">
        <f>'Campus site 1'!$D745/1000</f>
        <v>95.435000000000002</v>
      </c>
      <c r="D42" s="482"/>
      <c r="E42" s="425"/>
      <c r="F42" s="11"/>
      <c r="G42" s="11"/>
    </row>
    <row r="43" spans="2:7" ht="12" thickBot="1">
      <c r="B43" s="426" t="str">
        <f>'Campus site 1'!C746</f>
        <v>Autres équipements</v>
      </c>
      <c r="C43" s="427">
        <f>'Campus site 1'!$G736/1000</f>
        <v>0</v>
      </c>
      <c r="D43" s="483"/>
      <c r="E43" s="428"/>
      <c r="F43" s="11"/>
      <c r="G43" s="11"/>
    </row>
  </sheetData>
  <mergeCells count="1">
    <mergeCell ref="B2:N2"/>
  </mergeCells>
  <phoneticPr fontId="36" type="noConversion"/>
  <pageMargins left="0.78740157499999996" right="0.78740157499999996" top="0.984251969" bottom="0.984251969" header="0.4921259845" footer="0.4921259845"/>
  <pageSetup paperSize="9"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0" tint="-4.9989318521683403E-2"/>
  </sheetPr>
  <dimension ref="B1:T53"/>
  <sheetViews>
    <sheetView workbookViewId="0">
      <selection activeCell="C39" sqref="C39"/>
    </sheetView>
  </sheetViews>
  <sheetFormatPr baseColWidth="10" defaultColWidth="11.375" defaultRowHeight="11.4"/>
  <cols>
    <col min="1" max="1" width="2.375" style="7" customWidth="1"/>
    <col min="2" max="2" width="33.25" style="7" customWidth="1"/>
    <col min="3" max="3" width="23.75" style="7" customWidth="1"/>
    <col min="4" max="4" width="16.25" style="7" customWidth="1"/>
    <col min="5" max="5" width="15" style="7" customWidth="1"/>
    <col min="6" max="6" width="16.125" style="7" customWidth="1"/>
    <col min="7" max="7" width="14.75" style="7" customWidth="1"/>
    <col min="8" max="8" width="15.25" style="7" customWidth="1"/>
    <col min="9" max="9" width="13.375" style="7" customWidth="1"/>
    <col min="10" max="10" width="14.75" style="7" customWidth="1"/>
    <col min="11" max="12" width="11.375" style="22"/>
    <col min="13" max="13" width="12.875" style="22" customWidth="1"/>
    <col min="14" max="15" width="11.375" style="22"/>
    <col min="16" max="16" width="14.75" style="22" customWidth="1"/>
    <col min="17" max="19" width="11.375" style="22"/>
    <col min="20" max="16384" width="11.375" style="7"/>
  </cols>
  <sheetData>
    <row r="1" spans="2:20" s="18" customFormat="1">
      <c r="B1" s="8"/>
      <c r="C1" s="8"/>
      <c r="D1" s="8"/>
      <c r="E1" s="8"/>
      <c r="F1" s="8"/>
      <c r="G1" s="8"/>
      <c r="H1" s="8"/>
      <c r="I1" s="8"/>
      <c r="K1" s="24"/>
      <c r="L1" s="24"/>
      <c r="M1" s="24"/>
      <c r="N1" s="24"/>
      <c r="O1" s="24"/>
      <c r="P1" s="24"/>
      <c r="Q1" s="24"/>
      <c r="R1" s="24"/>
      <c r="S1" s="24"/>
    </row>
    <row r="2" spans="2:20" ht="22.8">
      <c r="B2" s="581" t="s">
        <v>268</v>
      </c>
      <c r="C2" s="581"/>
      <c r="D2" s="581"/>
      <c r="E2" s="581"/>
      <c r="F2" s="581"/>
      <c r="G2" s="581"/>
      <c r="H2" s="581"/>
      <c r="I2" s="581"/>
      <c r="J2" s="581"/>
      <c r="K2" s="25"/>
    </row>
    <row r="4" spans="2:20" ht="12">
      <c r="B4" s="12" t="s">
        <v>124</v>
      </c>
    </row>
    <row r="5" spans="2:20">
      <c r="B5" s="2" t="s">
        <v>63</v>
      </c>
      <c r="C5" s="2" t="s">
        <v>56</v>
      </c>
      <c r="D5" s="2" t="s">
        <v>57</v>
      </c>
      <c r="G5" s="22" t="s">
        <v>63</v>
      </c>
      <c r="H5" s="22"/>
      <c r="I5" s="26" t="s">
        <v>88</v>
      </c>
    </row>
    <row r="6" spans="2:20">
      <c r="B6" s="41" t="s">
        <v>122</v>
      </c>
      <c r="C6" s="6"/>
      <c r="D6" s="19">
        <f t="shared" ref="D6:D11" si="0">C6/I6</f>
        <v>0</v>
      </c>
      <c r="G6" s="27" t="s">
        <v>24</v>
      </c>
      <c r="H6" s="22"/>
      <c r="I6" s="28">
        <v>1.1100000000000001</v>
      </c>
    </row>
    <row r="7" spans="2:20">
      <c r="B7" s="41" t="s">
        <v>7</v>
      </c>
      <c r="C7" s="6"/>
      <c r="D7" s="19">
        <f t="shared" si="0"/>
        <v>0</v>
      </c>
      <c r="G7" s="27" t="s">
        <v>7</v>
      </c>
      <c r="H7" s="26"/>
      <c r="I7" s="28">
        <v>1.0900000000000001</v>
      </c>
      <c r="L7" s="154"/>
      <c r="M7" s="154"/>
      <c r="N7" s="154"/>
      <c r="O7" s="154"/>
      <c r="P7" s="154"/>
      <c r="Q7" s="154"/>
      <c r="R7" s="154"/>
      <c r="S7" s="154"/>
    </row>
    <row r="8" spans="2:20">
      <c r="B8" s="41" t="s">
        <v>58</v>
      </c>
      <c r="C8" s="6"/>
      <c r="D8" s="19">
        <f t="shared" si="0"/>
        <v>0</v>
      </c>
      <c r="G8" s="27" t="s">
        <v>58</v>
      </c>
      <c r="H8" s="26"/>
      <c r="I8" s="28">
        <v>1.08</v>
      </c>
      <c r="T8" s="22"/>
    </row>
    <row r="9" spans="2:20">
      <c r="B9" s="41" t="s">
        <v>59</v>
      </c>
      <c r="C9" s="6"/>
      <c r="D9" s="19">
        <f t="shared" si="0"/>
        <v>0</v>
      </c>
      <c r="G9" s="27" t="s">
        <v>59</v>
      </c>
      <c r="H9" s="22"/>
      <c r="I9" s="28">
        <v>1.07</v>
      </c>
      <c r="T9" s="22"/>
    </row>
    <row r="10" spans="2:20">
      <c r="B10" s="41" t="s">
        <v>64</v>
      </c>
      <c r="C10" s="6"/>
      <c r="D10" s="19">
        <f t="shared" si="0"/>
        <v>0</v>
      </c>
      <c r="G10" s="27" t="s">
        <v>64</v>
      </c>
      <c r="H10" s="22"/>
      <c r="I10" s="28">
        <v>1.06</v>
      </c>
      <c r="T10" s="22"/>
    </row>
    <row r="11" spans="2:20">
      <c r="B11" s="41" t="s">
        <v>60</v>
      </c>
      <c r="C11" s="6"/>
      <c r="D11" s="19">
        <f t="shared" si="0"/>
        <v>0</v>
      </c>
      <c r="G11" s="27" t="s">
        <v>60</v>
      </c>
      <c r="H11" s="22"/>
      <c r="I11" s="28">
        <v>1.05</v>
      </c>
      <c r="T11" s="22"/>
    </row>
    <row r="12" spans="2:20">
      <c r="T12" s="22"/>
    </row>
    <row r="13" spans="2:20" ht="12">
      <c r="B13" s="42" t="s">
        <v>125</v>
      </c>
      <c r="M13" s="676" t="s">
        <v>73</v>
      </c>
      <c r="N13" s="676"/>
      <c r="O13" s="676"/>
      <c r="P13" s="676"/>
      <c r="Q13" s="676"/>
      <c r="R13" s="676"/>
      <c r="S13" s="676"/>
      <c r="T13" s="22"/>
    </row>
    <row r="14" spans="2:20">
      <c r="B14" s="40" t="s">
        <v>93</v>
      </c>
      <c r="C14" s="40" t="s">
        <v>94</v>
      </c>
      <c r="D14" s="2" t="s">
        <v>95</v>
      </c>
      <c r="E14" s="2" t="s">
        <v>96</v>
      </c>
      <c r="F14" s="2" t="s">
        <v>1</v>
      </c>
      <c r="G14" s="2" t="s">
        <v>57</v>
      </c>
      <c r="H14" s="2" t="s">
        <v>3</v>
      </c>
      <c r="I14" s="2" t="s">
        <v>4</v>
      </c>
      <c r="J14" s="2" t="s">
        <v>89</v>
      </c>
      <c r="M14" s="26" t="s">
        <v>74</v>
      </c>
      <c r="N14" s="26" t="s">
        <v>75</v>
      </c>
      <c r="O14" s="26" t="s">
        <v>1</v>
      </c>
      <c r="P14" s="26" t="s">
        <v>2</v>
      </c>
      <c r="Q14" s="26" t="s">
        <v>3</v>
      </c>
      <c r="R14" s="26" t="s">
        <v>4</v>
      </c>
      <c r="S14" s="26" t="s">
        <v>68</v>
      </c>
      <c r="T14" s="22"/>
    </row>
    <row r="15" spans="2:20">
      <c r="B15" s="41" t="s">
        <v>95</v>
      </c>
      <c r="C15" s="6"/>
      <c r="D15" s="4">
        <f t="shared" ref="D15:J21" si="1">$C15*M15</f>
        <v>0</v>
      </c>
      <c r="E15" s="4">
        <f>$C15*N15</f>
        <v>0</v>
      </c>
      <c r="F15" s="3">
        <f t="shared" si="1"/>
        <v>0</v>
      </c>
      <c r="G15" s="3">
        <f t="shared" si="1"/>
        <v>0</v>
      </c>
      <c r="H15" s="3">
        <f t="shared" si="1"/>
        <v>0</v>
      </c>
      <c r="I15" s="3">
        <f t="shared" si="1"/>
        <v>0</v>
      </c>
      <c r="J15" s="3">
        <f t="shared" si="1"/>
        <v>0</v>
      </c>
      <c r="L15" s="28" t="s">
        <v>74</v>
      </c>
      <c r="M15" s="29">
        <v>1</v>
      </c>
      <c r="N15" s="30">
        <f>O15/O16</f>
        <v>1.4340344168260037</v>
      </c>
      <c r="O15" s="31">
        <v>42000000000</v>
      </c>
      <c r="P15" s="29">
        <f>O15/3600000</f>
        <v>11666.666666666666</v>
      </c>
      <c r="Q15" s="29">
        <f>O15*Q17</f>
        <v>39808351.223395936</v>
      </c>
      <c r="R15" s="29">
        <v>1200</v>
      </c>
      <c r="S15" s="30">
        <f>1/M21</f>
        <v>2.9914529914529915</v>
      </c>
      <c r="T15" s="22"/>
    </row>
    <row r="16" spans="2:20">
      <c r="B16" s="41" t="s">
        <v>96</v>
      </c>
      <c r="C16" s="6"/>
      <c r="D16" s="4">
        <f t="shared" si="1"/>
        <v>0</v>
      </c>
      <c r="E16" s="4">
        <f t="shared" si="1"/>
        <v>0</v>
      </c>
      <c r="F16" s="3">
        <f t="shared" si="1"/>
        <v>0</v>
      </c>
      <c r="G16" s="3">
        <f t="shared" si="1"/>
        <v>0</v>
      </c>
      <c r="H16" s="3">
        <f t="shared" si="1"/>
        <v>0</v>
      </c>
      <c r="I16" s="3">
        <f t="shared" si="1"/>
        <v>0</v>
      </c>
      <c r="J16" s="3">
        <f t="shared" si="1"/>
        <v>0</v>
      </c>
      <c r="L16" s="28" t="s">
        <v>75</v>
      </c>
      <c r="M16" s="32">
        <f>1/N15</f>
        <v>0.69733333333333336</v>
      </c>
      <c r="N16" s="29">
        <v>1</v>
      </c>
      <c r="O16" s="31">
        <f>4.184*7000000000</f>
        <v>29288000000</v>
      </c>
      <c r="P16" s="29">
        <f>O16/3600000</f>
        <v>8135.5555555555557</v>
      </c>
      <c r="Q16" s="29">
        <f>O16*Q17</f>
        <v>27759690.253114767</v>
      </c>
      <c r="R16" s="29">
        <f>R15/N15</f>
        <v>836.80000000000007</v>
      </c>
      <c r="S16" s="30">
        <f>1/N21</f>
        <v>2.0860398860398859</v>
      </c>
      <c r="T16" s="22"/>
    </row>
    <row r="17" spans="2:20">
      <c r="B17" s="41" t="s">
        <v>1</v>
      </c>
      <c r="C17" s="6"/>
      <c r="D17" s="4">
        <f t="shared" si="1"/>
        <v>0</v>
      </c>
      <c r="E17" s="4">
        <f t="shared" si="1"/>
        <v>0</v>
      </c>
      <c r="F17" s="3">
        <f t="shared" si="1"/>
        <v>0</v>
      </c>
      <c r="G17" s="3">
        <f t="shared" si="1"/>
        <v>0</v>
      </c>
      <c r="H17" s="3">
        <f t="shared" si="1"/>
        <v>0</v>
      </c>
      <c r="I17" s="3">
        <f t="shared" si="1"/>
        <v>0</v>
      </c>
      <c r="J17" s="3">
        <f t="shared" si="1"/>
        <v>0</v>
      </c>
      <c r="L17" s="28" t="s">
        <v>1</v>
      </c>
      <c r="M17" s="33">
        <f>1/O15</f>
        <v>2.3809523809523808E-11</v>
      </c>
      <c r="N17" s="34">
        <f>1/O16</f>
        <v>3.414367659109533E-11</v>
      </c>
      <c r="O17" s="29">
        <v>1</v>
      </c>
      <c r="P17" s="31">
        <f>1/O18</f>
        <v>2.7777777777777776E-7</v>
      </c>
      <c r="Q17" s="35">
        <f>1/O19</f>
        <v>9.4781788627133182E-4</v>
      </c>
      <c r="R17" s="31">
        <f>1/O20</f>
        <v>2.8571428571428572E-8</v>
      </c>
      <c r="S17" s="31">
        <f>1/O21</f>
        <v>7.1225071225071231E-11</v>
      </c>
      <c r="T17" s="22"/>
    </row>
    <row r="18" spans="2:20">
      <c r="B18" s="41" t="s">
        <v>57</v>
      </c>
      <c r="C18" s="6"/>
      <c r="D18" s="4">
        <f t="shared" si="1"/>
        <v>0</v>
      </c>
      <c r="E18" s="4">
        <f t="shared" si="1"/>
        <v>0</v>
      </c>
      <c r="F18" s="3">
        <f t="shared" si="1"/>
        <v>0</v>
      </c>
      <c r="G18" s="3">
        <f t="shared" si="1"/>
        <v>0</v>
      </c>
      <c r="H18" s="3">
        <f t="shared" si="1"/>
        <v>0</v>
      </c>
      <c r="I18" s="3">
        <f t="shared" si="1"/>
        <v>0</v>
      </c>
      <c r="J18" s="3">
        <f t="shared" si="1"/>
        <v>0</v>
      </c>
      <c r="L18" s="28" t="s">
        <v>69</v>
      </c>
      <c r="M18" s="33">
        <f>1/P15</f>
        <v>8.5714285714285713E-5</v>
      </c>
      <c r="N18" s="31">
        <f>1/P16</f>
        <v>1.2291723572794319E-4</v>
      </c>
      <c r="O18" s="31">
        <v>3600000</v>
      </c>
      <c r="P18" s="29">
        <v>1</v>
      </c>
      <c r="Q18" s="29">
        <f>1/P19</f>
        <v>3412.1443905767946</v>
      </c>
      <c r="R18" s="30">
        <f>1/P20</f>
        <v>0.10285714285714284</v>
      </c>
      <c r="S18" s="31">
        <f>1/P21</f>
        <v>2.5641025641025641E-4</v>
      </c>
      <c r="T18" s="22"/>
    </row>
    <row r="19" spans="2:20">
      <c r="B19" s="41" t="s">
        <v>3</v>
      </c>
      <c r="C19" s="6"/>
      <c r="D19" s="4">
        <f t="shared" si="1"/>
        <v>0</v>
      </c>
      <c r="E19" s="4">
        <f t="shared" si="1"/>
        <v>0</v>
      </c>
      <c r="F19" s="3">
        <f t="shared" si="1"/>
        <v>0</v>
      </c>
      <c r="G19" s="3">
        <f t="shared" si="1"/>
        <v>0</v>
      </c>
      <c r="H19" s="3">
        <f t="shared" si="1"/>
        <v>0</v>
      </c>
      <c r="I19" s="3">
        <f t="shared" si="1"/>
        <v>0</v>
      </c>
      <c r="J19" s="3">
        <f t="shared" si="1"/>
        <v>0</v>
      </c>
      <c r="L19" s="28" t="s">
        <v>3</v>
      </c>
      <c r="M19" s="33">
        <f>1/Q15</f>
        <v>2.5120357142857143E-8</v>
      </c>
      <c r="N19" s="33">
        <f>1/Q16</f>
        <v>3.602345670581808E-8</v>
      </c>
      <c r="O19" s="29">
        <v>1055.0550000000001</v>
      </c>
      <c r="P19" s="36">
        <f>P15*M19</f>
        <v>2.9307083333333331E-4</v>
      </c>
      <c r="Q19" s="29">
        <v>1</v>
      </c>
      <c r="R19" s="31">
        <f>1/Q20</f>
        <v>3.0144428571428571E-5</v>
      </c>
      <c r="S19" s="31">
        <f>1/Q21</f>
        <v>7.5146367521367518E-8</v>
      </c>
      <c r="T19" s="22"/>
    </row>
    <row r="20" spans="2:20">
      <c r="B20" s="41" t="s">
        <v>121</v>
      </c>
      <c r="C20" s="6"/>
      <c r="D20" s="4">
        <f t="shared" si="1"/>
        <v>0</v>
      </c>
      <c r="E20" s="4">
        <f t="shared" si="1"/>
        <v>0</v>
      </c>
      <c r="F20" s="3">
        <f t="shared" si="1"/>
        <v>0</v>
      </c>
      <c r="G20" s="3">
        <f t="shared" si="1"/>
        <v>0</v>
      </c>
      <c r="H20" s="3">
        <f t="shared" si="1"/>
        <v>0</v>
      </c>
      <c r="I20" s="3">
        <f t="shared" si="1"/>
        <v>0</v>
      </c>
      <c r="J20" s="3">
        <f t="shared" si="1"/>
        <v>0</v>
      </c>
      <c r="L20" s="28" t="s">
        <v>4</v>
      </c>
      <c r="M20" s="36">
        <f>1/R15</f>
        <v>8.3333333333333339E-4</v>
      </c>
      <c r="N20" s="37">
        <f>M20*N15</f>
        <v>1.1950286806883365E-3</v>
      </c>
      <c r="O20" s="31">
        <f>O15*M20</f>
        <v>35000000</v>
      </c>
      <c r="P20" s="38">
        <f>P15*M20</f>
        <v>9.7222222222222232</v>
      </c>
      <c r="Q20" s="29">
        <f>M20*Q15</f>
        <v>33173.626019496616</v>
      </c>
      <c r="R20" s="29">
        <v>1</v>
      </c>
      <c r="S20" s="36">
        <f>S19*Q20</f>
        <v>2.4928774928774928E-3</v>
      </c>
      <c r="T20" s="22"/>
    </row>
    <row r="21" spans="2:20">
      <c r="B21" s="41" t="s">
        <v>123</v>
      </c>
      <c r="C21" s="6"/>
      <c r="D21" s="4">
        <f t="shared" si="1"/>
        <v>0</v>
      </c>
      <c r="E21" s="4">
        <f t="shared" si="1"/>
        <v>0</v>
      </c>
      <c r="F21" s="3">
        <f t="shared" si="1"/>
        <v>0</v>
      </c>
      <c r="G21" s="3">
        <f t="shared" si="1"/>
        <v>0</v>
      </c>
      <c r="H21" s="3">
        <f t="shared" si="1"/>
        <v>0</v>
      </c>
      <c r="I21" s="3">
        <f t="shared" si="1"/>
        <v>0</v>
      </c>
      <c r="J21" s="3">
        <f t="shared" si="1"/>
        <v>0</v>
      </c>
      <c r="L21" s="28" t="s">
        <v>10</v>
      </c>
      <c r="M21" s="32">
        <f>P21/P15</f>
        <v>0.3342857142857143</v>
      </c>
      <c r="N21" s="39">
        <f>P21/P16</f>
        <v>0.47937721933897842</v>
      </c>
      <c r="O21" s="31">
        <f>P21*3600000</f>
        <v>14040000000</v>
      </c>
      <c r="P21" s="29">
        <v>3900</v>
      </c>
      <c r="Q21" s="29">
        <f>P21*Q18</f>
        <v>13307363.123249499</v>
      </c>
      <c r="R21" s="29">
        <f>1/S20</f>
        <v>401.14285714285717</v>
      </c>
      <c r="S21" s="29">
        <v>1</v>
      </c>
      <c r="T21" s="22"/>
    </row>
    <row r="22" spans="2:20">
      <c r="T22" s="22"/>
    </row>
    <row r="23" spans="2:20">
      <c r="T23" s="22"/>
    </row>
    <row r="24" spans="2:20">
      <c r="T24" s="22"/>
    </row>
    <row r="25" spans="2:20">
      <c r="B25" s="8"/>
      <c r="C25" s="8"/>
      <c r="D25" s="8"/>
      <c r="E25" s="8"/>
      <c r="F25" s="8"/>
      <c r="G25" s="8"/>
      <c r="H25" s="8"/>
      <c r="I25" s="8"/>
      <c r="J25" s="18"/>
      <c r="T25" s="22"/>
    </row>
    <row r="26" spans="2:20" ht="22.8">
      <c r="B26" s="581" t="s">
        <v>245</v>
      </c>
      <c r="C26" s="581"/>
      <c r="D26" s="581"/>
      <c r="E26" s="581"/>
      <c r="F26" s="581"/>
      <c r="G26" s="581"/>
      <c r="H26" s="581"/>
      <c r="I26" s="581"/>
      <c r="J26" s="581"/>
      <c r="T26" s="22"/>
    </row>
    <row r="27" spans="2:20">
      <c r="T27" s="22"/>
    </row>
    <row r="28" spans="2:20" ht="12">
      <c r="B28" s="12" t="s">
        <v>246</v>
      </c>
    </row>
    <row r="29" spans="2:20" ht="22.8">
      <c r="B29" s="178" t="s">
        <v>252</v>
      </c>
      <c r="C29" s="179" t="s">
        <v>5</v>
      </c>
      <c r="D29" s="180" t="s">
        <v>448</v>
      </c>
      <c r="E29" s="178" t="s">
        <v>250</v>
      </c>
      <c r="F29" s="178" t="s">
        <v>299</v>
      </c>
      <c r="G29" s="161"/>
      <c r="H29" s="161"/>
      <c r="I29" s="161"/>
      <c r="J29" s="161"/>
    </row>
    <row r="30" spans="2:20" ht="12">
      <c r="B30" s="41" t="s">
        <v>247</v>
      </c>
      <c r="C30" s="181">
        <v>20</v>
      </c>
      <c r="D30" s="185">
        <v>9</v>
      </c>
      <c r="E30" s="186">
        <v>0.1</v>
      </c>
      <c r="F30" s="182">
        <f>C30*D30*E30</f>
        <v>18</v>
      </c>
      <c r="G30" s="161"/>
      <c r="H30" s="161"/>
      <c r="I30" s="161"/>
      <c r="J30" s="161"/>
    </row>
    <row r="31" spans="2:20" ht="12">
      <c r="B31" s="41" t="s">
        <v>248</v>
      </c>
      <c r="C31" s="181">
        <v>0</v>
      </c>
      <c r="D31" s="185">
        <v>26</v>
      </c>
      <c r="E31" s="186">
        <v>0.05</v>
      </c>
      <c r="F31" s="182">
        <f t="shared" ref="F31:F33" si="2">C31*D31*E31</f>
        <v>0</v>
      </c>
      <c r="G31" s="161"/>
      <c r="H31" s="161"/>
      <c r="I31" s="161"/>
      <c r="J31" s="161"/>
    </row>
    <row r="32" spans="2:20" ht="12">
      <c r="B32" s="41" t="s">
        <v>249</v>
      </c>
      <c r="C32" s="181">
        <v>0</v>
      </c>
      <c r="D32" s="185">
        <v>5</v>
      </c>
      <c r="E32" s="186">
        <v>0.06</v>
      </c>
      <c r="F32" s="182">
        <f t="shared" si="2"/>
        <v>0</v>
      </c>
      <c r="G32" s="161"/>
      <c r="H32" s="161"/>
      <c r="I32" s="161"/>
      <c r="J32" s="161"/>
    </row>
    <row r="33" spans="2:10" ht="12">
      <c r="B33" s="41" t="s">
        <v>228</v>
      </c>
      <c r="C33" s="181">
        <v>0</v>
      </c>
      <c r="D33" s="185">
        <v>9</v>
      </c>
      <c r="E33" s="186">
        <v>0.09</v>
      </c>
      <c r="F33" s="182">
        <f t="shared" si="2"/>
        <v>0</v>
      </c>
      <c r="G33" s="161"/>
      <c r="H33" s="161"/>
      <c r="I33" s="161"/>
      <c r="J33" s="161"/>
    </row>
    <row r="34" spans="2:10">
      <c r="B34" s="132"/>
      <c r="C34" s="183"/>
      <c r="D34" s="183"/>
      <c r="E34" s="184"/>
      <c r="F34" s="184"/>
      <c r="G34" s="161"/>
      <c r="H34" s="161"/>
      <c r="I34" s="161"/>
      <c r="J34" s="161"/>
    </row>
    <row r="35" spans="2:10">
      <c r="B35" s="132"/>
      <c r="C35" s="183"/>
      <c r="D35" s="183"/>
      <c r="E35" s="184"/>
      <c r="F35" s="184"/>
      <c r="G35" s="161"/>
      <c r="H35" s="161"/>
      <c r="I35" s="161"/>
      <c r="J35" s="161"/>
    </row>
    <row r="36" spans="2:10" ht="12">
      <c r="B36" s="12" t="s">
        <v>258</v>
      </c>
      <c r="G36" s="161"/>
      <c r="H36" s="161"/>
      <c r="I36" s="161"/>
      <c r="J36" s="161"/>
    </row>
    <row r="37" spans="2:10" ht="22.8">
      <c r="B37" s="178" t="s">
        <v>253</v>
      </c>
      <c r="C37" s="188" t="s">
        <v>257</v>
      </c>
      <c r="D37" s="180" t="s">
        <v>449</v>
      </c>
      <c r="E37" s="178" t="s">
        <v>250</v>
      </c>
      <c r="F37" s="178" t="s">
        <v>251</v>
      </c>
      <c r="G37" s="161"/>
      <c r="H37" s="161"/>
      <c r="I37" s="161"/>
      <c r="J37" s="161"/>
    </row>
    <row r="38" spans="2:10" ht="12">
      <c r="B38" s="41" t="s">
        <v>254</v>
      </c>
      <c r="C38" s="181">
        <v>0</v>
      </c>
      <c r="D38" s="187">
        <v>0.3</v>
      </c>
      <c r="E38" s="186">
        <v>0.1</v>
      </c>
      <c r="F38" s="182">
        <f>C38*D38*E38</f>
        <v>0</v>
      </c>
      <c r="G38" s="161"/>
      <c r="H38" s="161"/>
      <c r="I38" s="161"/>
      <c r="J38" s="161"/>
    </row>
    <row r="39" spans="2:10" ht="12">
      <c r="B39" s="41" t="s">
        <v>255</v>
      </c>
      <c r="C39" s="181">
        <v>7820</v>
      </c>
      <c r="D39" s="187">
        <v>0.3</v>
      </c>
      <c r="E39" s="186">
        <v>0.05</v>
      </c>
      <c r="F39" s="182">
        <f t="shared" ref="F39:F41" si="3">C39*D39*E39</f>
        <v>117.30000000000001</v>
      </c>
      <c r="G39" s="161"/>
      <c r="H39" s="161"/>
      <c r="I39" s="161"/>
      <c r="J39" s="161"/>
    </row>
    <row r="40" spans="2:10" ht="12">
      <c r="B40" s="41" t="s">
        <v>256</v>
      </c>
      <c r="C40" s="181">
        <v>0</v>
      </c>
      <c r="D40" s="187">
        <v>0.2</v>
      </c>
      <c r="E40" s="186">
        <v>0.05</v>
      </c>
      <c r="F40" s="182">
        <f t="shared" si="3"/>
        <v>0</v>
      </c>
      <c r="G40" s="161"/>
      <c r="H40" s="161"/>
      <c r="I40" s="161"/>
      <c r="J40" s="161"/>
    </row>
    <row r="41" spans="2:10" ht="12">
      <c r="B41" s="41" t="s">
        <v>228</v>
      </c>
      <c r="C41" s="181">
        <v>0</v>
      </c>
      <c r="D41" s="187">
        <v>0.3</v>
      </c>
      <c r="E41" s="186">
        <v>0.04</v>
      </c>
      <c r="F41" s="182">
        <f t="shared" si="3"/>
        <v>0</v>
      </c>
      <c r="G41" s="161"/>
      <c r="H41" s="161"/>
      <c r="I41" s="161"/>
      <c r="J41" s="161"/>
    </row>
    <row r="42" spans="2:10">
      <c r="B42" s="161"/>
      <c r="C42" s="161"/>
      <c r="D42" s="161"/>
      <c r="E42" s="161"/>
      <c r="F42" s="161"/>
      <c r="G42" s="161"/>
      <c r="H42" s="161"/>
      <c r="I42" s="161"/>
      <c r="J42" s="161"/>
    </row>
    <row r="43" spans="2:10">
      <c r="B43" s="161"/>
      <c r="C43" s="161"/>
      <c r="D43" s="161"/>
      <c r="E43" s="161"/>
      <c r="F43" s="161"/>
      <c r="G43" s="161"/>
      <c r="H43" s="161"/>
      <c r="I43" s="161"/>
      <c r="J43" s="161"/>
    </row>
    <row r="44" spans="2:10">
      <c r="B44" s="161"/>
      <c r="C44" s="161"/>
      <c r="D44" s="161"/>
      <c r="E44" s="161"/>
      <c r="F44" s="161"/>
      <c r="G44" s="161"/>
      <c r="H44" s="161"/>
      <c r="I44" s="161"/>
      <c r="J44" s="161"/>
    </row>
    <row r="45" spans="2:10">
      <c r="B45" s="161"/>
      <c r="C45" s="161"/>
      <c r="D45" s="161"/>
      <c r="E45" s="161"/>
      <c r="F45" s="161"/>
      <c r="G45" s="161"/>
      <c r="H45" s="161"/>
      <c r="I45" s="161"/>
      <c r="J45" s="161"/>
    </row>
    <row r="46" spans="2:10">
      <c r="B46" s="161"/>
      <c r="C46" s="161"/>
      <c r="D46" s="161"/>
      <c r="E46" s="161"/>
      <c r="F46" s="161"/>
      <c r="G46" s="161"/>
      <c r="H46" s="161"/>
      <c r="I46" s="161"/>
      <c r="J46" s="161"/>
    </row>
    <row r="47" spans="2:10">
      <c r="B47" s="161"/>
      <c r="C47" s="161"/>
      <c r="D47" s="161"/>
      <c r="E47" s="161"/>
      <c r="F47" s="161"/>
      <c r="G47" s="161"/>
      <c r="H47" s="161"/>
      <c r="I47" s="161"/>
      <c r="J47" s="161"/>
    </row>
    <row r="48" spans="2:10">
      <c r="B48" s="161"/>
      <c r="C48" s="161"/>
      <c r="D48" s="161"/>
      <c r="E48" s="161"/>
      <c r="F48" s="161"/>
      <c r="G48" s="161"/>
      <c r="H48" s="161"/>
      <c r="I48" s="161"/>
      <c r="J48" s="161"/>
    </row>
    <row r="49" spans="2:10">
      <c r="B49" s="161"/>
      <c r="C49" s="161"/>
      <c r="D49" s="161"/>
      <c r="E49" s="161"/>
      <c r="F49" s="161"/>
      <c r="G49" s="161"/>
      <c r="H49" s="161"/>
      <c r="I49" s="161"/>
      <c r="J49" s="161"/>
    </row>
    <row r="50" spans="2:10">
      <c r="B50" s="161"/>
      <c r="C50" s="161"/>
      <c r="D50" s="161"/>
      <c r="E50" s="161"/>
      <c r="F50" s="161"/>
      <c r="G50" s="161"/>
      <c r="H50" s="161"/>
      <c r="I50" s="161"/>
      <c r="J50" s="161"/>
    </row>
    <row r="51" spans="2:10">
      <c r="B51" s="161"/>
      <c r="C51" s="161"/>
      <c r="D51" s="161"/>
      <c r="E51" s="161"/>
      <c r="F51" s="161"/>
      <c r="G51" s="161"/>
      <c r="H51" s="161"/>
      <c r="I51" s="161"/>
      <c r="J51"/>
    </row>
    <row r="52" spans="2:10">
      <c r="B52" s="161"/>
      <c r="C52" s="161"/>
      <c r="D52" s="161"/>
      <c r="E52" s="161"/>
      <c r="F52" s="161"/>
      <c r="G52" s="161"/>
      <c r="H52" s="161"/>
      <c r="I52" s="161"/>
      <c r="J52"/>
    </row>
    <row r="53" spans="2:10">
      <c r="B53"/>
      <c r="C53"/>
      <c r="D53"/>
      <c r="E53"/>
      <c r="F53"/>
      <c r="G53"/>
      <c r="H53"/>
      <c r="I53"/>
      <c r="J53"/>
    </row>
  </sheetData>
  <dataConsolidate/>
  <mergeCells count="3">
    <mergeCell ref="M13:S13"/>
    <mergeCell ref="B2:J2"/>
    <mergeCell ref="B26:J26"/>
  </mergeCells>
  <phoneticPr fontId="0"/>
  <pageMargins left="0.78740157499999996" right="0.78740157499999996" top="0.984251969" bottom="0.984251969" header="0.4921259845" footer="0.4921259845"/>
  <pageSetup paperSize="9" orientation="portrait" horizontalDpi="4294967292" verticalDpi="4294967292"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BDC5A-7A76-49C7-9301-8D12DA48C358}">
  <dimension ref="A1:A12"/>
  <sheetViews>
    <sheetView workbookViewId="0">
      <selection activeCell="D15" sqref="D15"/>
    </sheetView>
  </sheetViews>
  <sheetFormatPr baseColWidth="10" defaultRowHeight="11.4"/>
  <sheetData>
    <row r="1" spans="1:1" ht="14.4" thickBot="1">
      <c r="A1" s="677">
        <v>270650</v>
      </c>
    </row>
    <row r="2" spans="1:1" ht="14.4" thickBot="1">
      <c r="A2" s="678">
        <v>240318</v>
      </c>
    </row>
    <row r="3" spans="1:1" ht="14.4" thickBot="1">
      <c r="A3" s="678">
        <v>240753</v>
      </c>
    </row>
    <row r="4" spans="1:1" ht="14.4" thickBot="1">
      <c r="A4" s="678">
        <v>166595</v>
      </c>
    </row>
    <row r="5" spans="1:1" ht="14.4" thickBot="1">
      <c r="A5" s="678">
        <v>161710</v>
      </c>
    </row>
    <row r="6" spans="1:1" ht="14.4" thickBot="1">
      <c r="A6" s="678">
        <v>110790</v>
      </c>
    </row>
    <row r="7" spans="1:1" ht="14.4" thickBot="1">
      <c r="A7" s="678">
        <v>73553</v>
      </c>
    </row>
    <row r="8" spans="1:1" ht="14.4" thickBot="1">
      <c r="A8" s="678">
        <v>53861</v>
      </c>
    </row>
    <row r="9" spans="1:1" ht="14.4" thickBot="1">
      <c r="A9" s="678">
        <v>144370</v>
      </c>
    </row>
    <row r="10" spans="1:1" ht="14.4" thickBot="1">
      <c r="A10" s="678">
        <v>177046</v>
      </c>
    </row>
    <row r="11" spans="1:1" ht="14.4" thickBot="1">
      <c r="A11" s="678">
        <v>211146</v>
      </c>
    </row>
    <row r="12" spans="1:1" ht="14.4" thickBot="1">
      <c r="A12" s="678">
        <v>240208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6</vt:i4>
      </vt:variant>
      <vt:variant>
        <vt:lpstr>Plages nommées</vt:lpstr>
      </vt:variant>
      <vt:variant>
        <vt:i4>9</vt:i4>
      </vt:variant>
    </vt:vector>
  </HeadingPairs>
  <TitlesOfParts>
    <vt:vector size="15" baseType="lpstr">
      <vt:lpstr>Accueil</vt:lpstr>
      <vt:lpstr>Facteurs d'émission</vt:lpstr>
      <vt:lpstr>Campus site 1</vt:lpstr>
      <vt:lpstr>Totalisateur</vt:lpstr>
      <vt:lpstr>Convertisseurs</vt:lpstr>
      <vt:lpstr>Feuil1</vt:lpstr>
      <vt:lpstr>CONSOMMABLES_ET_MATERIAUX</vt:lpstr>
      <vt:lpstr>DECHETS_DIRECTS</vt:lpstr>
      <vt:lpstr>DEPLACEMENT_PERSONNES</vt:lpstr>
      <vt:lpstr>FRET</vt:lpstr>
      <vt:lpstr>IMMOBILISATIONS</vt:lpstr>
      <vt:lpstr>RESTAURANT_UNIVERSITAIRE</vt:lpstr>
      <vt:lpstr>SOURCES_FIXES</vt:lpstr>
      <vt:lpstr>TOTAL</vt:lpstr>
      <vt:lpstr>'Campus site 1'!Zone_d_impression</vt:lpstr>
    </vt:vector>
  </TitlesOfParts>
  <Manager>Sylvie PADILLA, Jean-Marc JANCOVICI</Manager>
  <Company>ADEME, AVENIR CLIMATIQUE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Bilan Carbone® Campus (version simplifiée)</dc:title>
  <dc:subject>Bilan Carbone®</dc:subject>
  <dc:creator>Thomas GOURDON, Vincent BRYANT</dc:creator>
  <dc:description>contact@bilancarbonecampus.org</dc:description>
  <cp:lastModifiedBy>Jordan LAVENANT</cp:lastModifiedBy>
  <cp:lastPrinted>2008-10-19T17:29:27Z</cp:lastPrinted>
  <dcterms:created xsi:type="dcterms:W3CDTF">2006-10-23T11:23:59Z</dcterms:created>
  <dcterms:modified xsi:type="dcterms:W3CDTF">2026-03-20T15:49:55Z</dcterms:modified>
  <cp:category>Campus Durable</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-759960032</vt:i4>
  </property>
  <property fmtid="{D5CDD505-2E9C-101B-9397-08002B2CF9AE}" pid="3" name="_EmailSubject">
    <vt:lpwstr>[Bilan Carbone Campus] Lancement le 16/01/2009</vt:lpwstr>
  </property>
  <property fmtid="{D5CDD505-2E9C-101B-9397-08002B2CF9AE}" pid="4" name="_AuthorEmail">
    <vt:lpwstr>vincent.bryant@gmail.com</vt:lpwstr>
  </property>
  <property fmtid="{D5CDD505-2E9C-101B-9397-08002B2CF9AE}" pid="5" name="_AuthorEmailDisplayName">
    <vt:lpwstr>Vincent BRYANT</vt:lpwstr>
  </property>
  <property fmtid="{D5CDD505-2E9C-101B-9397-08002B2CF9AE}" pid="6" name="_PreviousAdHocReviewCycleID">
    <vt:i4>77213669</vt:i4>
  </property>
  <property fmtid="{D5CDD505-2E9C-101B-9397-08002B2CF9AE}" pid="7" name="_ReviewingToolsShownOnce">
    <vt:lpwstr/>
  </property>
</Properties>
</file>